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showInkAnnotation="0" updateLinks="never" codeName="ThisWorkbook" defaultThemeVersion="124226"/>
  <mc:AlternateContent xmlns:mc="http://schemas.openxmlformats.org/markup-compatibility/2006">
    <mc:Choice Requires="x15">
      <x15ac:absPath xmlns:x15ac="http://schemas.microsoft.com/office/spreadsheetml/2010/11/ac" url="C:\Users\kevin\Documentos\WORK\HUNTY\"/>
    </mc:Choice>
  </mc:AlternateContent>
  <xr:revisionPtr revIDLastSave="0" documentId="8_{23BB429E-7F2F-48CE-9B2E-85DEDF833C1A}" xr6:coauthVersionLast="47" xr6:coauthVersionMax="47" xr10:uidLastSave="{00000000-0000-0000-0000-000000000000}"/>
  <bookViews>
    <workbookView xWindow="-120" yWindow="-120" windowWidth="20730" windowHeight="11040" tabRatio="819" firstSheet="1" activeTab="1" xr2:uid="{00000000-000D-0000-FFFF-FFFF00000000}"/>
  </bookViews>
  <sheets>
    <sheet name="Resumen" sheetId="25" state="hidden" r:id="rId1"/>
    <sheet name="Catálogo de Ideas" sheetId="28" r:id="rId2"/>
    <sheet name="Diseño" sheetId="24" r:id="rId3"/>
    <sheet name="Factor de Ajuste" sheetId="6" state="hidden" r:id="rId4"/>
    <sheet name="Listas" sheetId="12" state="hidden" r:id="rId5"/>
    <sheet name="SuspensionPrueba" sheetId="18" state="hidden" r:id="rId6"/>
  </sheets>
  <externalReferences>
    <externalReference r:id="rId7"/>
    <externalReference r:id="rId8"/>
    <externalReference r:id="rId9"/>
    <externalReference r:id="rId10"/>
    <externalReference r:id="rId11"/>
    <externalReference r:id="rId12"/>
  </externalReferences>
  <definedNames>
    <definedName name="_xlnm._FilterDatabase" localSheetId="1" hidden="1">'Catálogo de Ideas'!$B$9:$G$10</definedName>
    <definedName name="Accion" localSheetId="1">[1]Listas!$X$5:$X$8</definedName>
    <definedName name="Accion" localSheetId="5">Listas!$W$5:$W$8</definedName>
    <definedName name="Accion">[2]Listas!$W$5:$W$8</definedName>
    <definedName name="Acción">Listas!$K$2:$K$5</definedName>
    <definedName name="Analista_Pruebas">Listas!$C$3:$C$27</definedName>
    <definedName name="Aspecto" localSheetId="5">Listas!$L$5:$L$8</definedName>
    <definedName name="Aspecto">[1]Listas!$L$5:$L$7</definedName>
    <definedName name="CausalDesfase">[1]Listas!$W$5:$W$21</definedName>
    <definedName name="CicloVida" localSheetId="5">Listas!$B$5:$B$7</definedName>
    <definedName name="CicloVida">[1]Listas!$B$5:$B$7</definedName>
    <definedName name="CicloVidaCompleto" localSheetId="5">Listas!$O$5:$O$7</definedName>
    <definedName name="CicloVidaCompleto">[1]Listas!$O$5:$O$7</definedName>
    <definedName name="CicloVidaPruebas" localSheetId="5">Listas!$P$5:$P$8</definedName>
    <definedName name="CicloVidaPruebas">[1]Listas!$P$5:$P$8</definedName>
    <definedName name="Complejidad" localSheetId="5">Listas!$N$5:$N$7</definedName>
    <definedName name="Complejidad">[1]Listas!$N$5:$N$7</definedName>
    <definedName name="Desfases" localSheetId="5">[3]ListasEditables!$A$8:$A$45</definedName>
    <definedName name="Desfases">Listas!$A$2:$A$40</definedName>
    <definedName name="Diseno" localSheetId="5">Listas!$X$5:$X$6</definedName>
    <definedName name="Diseno">[1]Listas!$Y$5:$Y$6</definedName>
    <definedName name="Estado_del_Proyecto">Listas!$I$2:$I$5</definedName>
    <definedName name="EstadoProyecto" localSheetId="5">Listas!$G$5:$G$8</definedName>
    <definedName name="EstadoProyecto">[1]Listas!$G$5:$G$8</definedName>
    <definedName name="Etapa_Prueba">Listas!$H$2:$H$6</definedName>
    <definedName name="EtapaPrueba" localSheetId="5">Listas!$AA$5:$AA$10</definedName>
    <definedName name="EtapaPrueba">[4]Listas!$AA$5:$AA$10</definedName>
    <definedName name="FlagValues">[5]Lookups!$E$3:$E$4</definedName>
    <definedName name="HNV">[1]Listas!$Z$5:$Z$6</definedName>
    <definedName name="Impacto" localSheetId="5">Listas!$M$5:$M$7</definedName>
    <definedName name="Impacto">[1]Listas!$M$5:$M$7</definedName>
    <definedName name="ImpactoIssue" localSheetId="5">Listas!$Q$5:$Q$8</definedName>
    <definedName name="ImpactoIssue">[1]Listas!$Q$5:$Q$8</definedName>
    <definedName name="Inc_Lookups" localSheetId="1">#REF!</definedName>
    <definedName name="Inc_Lookups">#REF!</definedName>
    <definedName name="Inc_Priority" localSheetId="1">#REF!</definedName>
    <definedName name="Inc_Priority">#REF!</definedName>
    <definedName name="Inc_Severity" localSheetId="1">#REF!</definedName>
    <definedName name="Inc_Severity">#REF!</definedName>
    <definedName name="Inc_Status" localSheetId="1">#REF!</definedName>
    <definedName name="Inc_Status">#REF!</definedName>
    <definedName name="Inc_Type" localSheetId="1">#REF!</definedName>
    <definedName name="Inc_Type">#REF!</definedName>
    <definedName name="Marcacion">[1]Listas!$K$5:$K$6</definedName>
    <definedName name="Niveles" localSheetId="5">Listas!$H$5:$H$6</definedName>
    <definedName name="Niveles">[1]Listas!$H$5:$H$6</definedName>
    <definedName name="_xlnm.Print_Area" localSheetId="5">SuspensionPrueba!$A$1:$BE$71</definedName>
    <definedName name="Req_Importance">[5]Lookups!$C$3:$C$6</definedName>
    <definedName name="Req_Status">[5]Lookups!$A$3:$A$10</definedName>
    <definedName name="Responsable">Listas!$J$3:$J$26</definedName>
    <definedName name="Responsable_ocurrencia_desfase">Listas!$G$2:$G$5</definedName>
    <definedName name="SiNo" localSheetId="1">[1]Listas!$D$5:$D$6</definedName>
    <definedName name="SiNo" localSheetId="5">Listas!$D$5:$D$6</definedName>
    <definedName name="SiNo">[2]Listas!$D$5:$D$6</definedName>
    <definedName name="Sugerida">Listas!$F$2:$F$4</definedName>
    <definedName name="Task_Priority">[5]Lookups!$M$3:$M$6</definedName>
    <definedName name="Task_Status">[5]Lookups!$K$3:$K$7</definedName>
    <definedName name="TestCase_Priority">[5]Lookups!$H$3:$H$6</definedName>
    <definedName name="TestCase_Type">[5]Lookups!$J$3:$J$5</definedName>
    <definedName name="TestRun_Status">[5]Lookups!$W$3:$W$8</definedName>
    <definedName name="TestSet_Status">[5]Lookups!$F$3:$F$7</definedName>
    <definedName name="Tipo_Ejecucion" localSheetId="5">Listas!$R$5:$R$7</definedName>
    <definedName name="Tipo_Ejecucion">[1]Listas!$R$5:$R$7</definedName>
    <definedName name="Tipo_Ejecucion_1" localSheetId="5">Listas!$S$5:$S$7</definedName>
    <definedName name="Tipo_Ejecucion_1">[1]Listas!$S$5:$S$7</definedName>
    <definedName name="Tipo_Pruebas">Listas!$E$2:$E$14</definedName>
    <definedName name="TipoPrueba" localSheetId="5">Listas!$U$5:$U$12</definedName>
    <definedName name="TipoPrueba">[1]Listas!$U$5:$U$9</definedName>
    <definedName name="TipoPruebaMC">[6]Listas!$AA$5:$AA$10</definedName>
    <definedName name="TipoPruebaNC" localSheetId="1">[1]Listas!$V$5:$V$10</definedName>
    <definedName name="TipoPruebaNC" localSheetId="5">Listas!$V$5:$V$11</definedName>
    <definedName name="TipoPruebaNC">[2]Listas!$V$5:$V$11</definedName>
    <definedName name="Titulo">[1]Listas!$J$5:$J$6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5" i="25" l="1"/>
  <c r="M15" i="25" l="1"/>
  <c r="C23" i="25"/>
  <c r="K7" i="25"/>
  <c r="K15" i="25"/>
  <c r="C15" i="25" l="1"/>
  <c r="G7" i="25" l="1"/>
  <c r="O7" i="25" s="1"/>
  <c r="Q20" i="18"/>
  <c r="Q21" i="18"/>
  <c r="Q22" i="18"/>
  <c r="Q23" i="18"/>
  <c r="Q24" i="18"/>
  <c r="Q25" i="18"/>
  <c r="Q26" i="18"/>
  <c r="Q27" i="18"/>
  <c r="Q28" i="18"/>
  <c r="Q29" i="18"/>
  <c r="Q30" i="18"/>
  <c r="Q31" i="18"/>
  <c r="Q19" i="18"/>
  <c r="C21" i="18" l="1"/>
  <c r="C22" i="18"/>
  <c r="C23" i="18"/>
  <c r="C24" i="18"/>
  <c r="C25" i="18"/>
  <c r="C26" i="18"/>
  <c r="C27" i="18"/>
  <c r="C28" i="18"/>
  <c r="C29" i="18"/>
  <c r="C30" i="18"/>
  <c r="C31" i="18"/>
  <c r="C20" i="18"/>
  <c r="C19" i="18"/>
  <c r="BD70" i="18"/>
  <c r="BC70" i="18"/>
  <c r="BD24" i="18"/>
  <c r="BC24" i="18"/>
  <c r="BD23" i="18"/>
  <c r="BC23" i="18"/>
  <c r="BD22" i="18"/>
  <c r="BC22" i="18"/>
  <c r="BD21" i="18"/>
  <c r="BC21" i="18"/>
  <c r="BD20" i="18"/>
  <c r="BC20" i="18"/>
  <c r="BD19" i="18"/>
  <c r="BC19" i="18"/>
  <c r="BH6" i="18"/>
  <c r="BH5" i="18"/>
  <c r="BH4" i="18"/>
  <c r="BH3" i="18"/>
  <c r="BD1" i="18"/>
  <c r="BC1" i="18"/>
  <c r="C106" i="12" l="1"/>
  <c r="C107" i="12"/>
  <c r="C102" i="12"/>
  <c r="B103" i="12"/>
  <c r="B107" i="12" l="1"/>
  <c r="B108" i="12"/>
  <c r="B106" i="12"/>
  <c r="B105" i="12"/>
  <c r="B104" i="12"/>
  <c r="C103" i="12" l="1"/>
  <c r="C105" i="12"/>
  <c r="C104" i="12"/>
  <c r="C11" i="6"/>
  <c r="C38" i="6"/>
  <c r="C7" i="25" l="1"/>
  <c r="C10" i="6"/>
  <c r="D19" i="6" l="1"/>
  <c r="D25" i="6"/>
  <c r="D15" i="6"/>
  <c r="D18" i="6"/>
  <c r="D20" i="6"/>
  <c r="D26" i="6"/>
  <c r="D33" i="6"/>
  <c r="D21" i="6"/>
  <c r="D27" i="6"/>
  <c r="D14" i="6"/>
  <c r="D34" i="6"/>
  <c r="D22" i="6"/>
  <c r="D29" i="6"/>
  <c r="D16" i="6"/>
  <c r="D35" i="6"/>
  <c r="D24" i="6"/>
  <c r="D31" i="6"/>
  <c r="D30" i="6"/>
  <c r="D17" i="6"/>
  <c r="D37" i="6"/>
  <c r="D28" i="6"/>
  <c r="D32" i="6"/>
  <c r="D36" i="6"/>
  <c r="D23" i="6"/>
  <c r="D38" i="6" l="1"/>
  <c r="C12" i="6"/>
</calcChain>
</file>

<file path=xl/sharedStrings.xml><?xml version="1.0" encoding="utf-8"?>
<sst xmlns="http://schemas.openxmlformats.org/spreadsheetml/2006/main" count="392" uniqueCount="294">
  <si>
    <t>Observaciones</t>
  </si>
  <si>
    <t>Nombre</t>
  </si>
  <si>
    <t>Aplicativo</t>
  </si>
  <si>
    <t>Diseño</t>
  </si>
  <si>
    <t>Funcional</t>
  </si>
  <si>
    <t>Total Factor de Ajuste por HU-Req</t>
  </si>
  <si>
    <t>Planeación</t>
  </si>
  <si>
    <t>Ejecución</t>
  </si>
  <si>
    <t>Buena calidad de artefacto recibido por parte del Cliente</t>
  </si>
  <si>
    <t>Mala calidad de artefacto recibido por parte del Cliente</t>
  </si>
  <si>
    <t>Mala calidad de artefacto recibido por parte del Proveedor</t>
  </si>
  <si>
    <t>Buena calidad de artefacto recibido por parte del Proveedor</t>
  </si>
  <si>
    <t>Gestión issues (responsable Cliente)</t>
  </si>
  <si>
    <t>Gestión issues (responsable Proveedor)</t>
  </si>
  <si>
    <t>Gestión issues (responsable Compañía)</t>
  </si>
  <si>
    <t>Administración y control de versiones o releases de software (responsable Cliente)</t>
  </si>
  <si>
    <t>Administración y control de versiones o releases de software (responsable Proveedor)</t>
  </si>
  <si>
    <t>Administración y control de versiones o releases de documentación (responsable Cliente)</t>
  </si>
  <si>
    <t>Administración y control de versiones o releases de documentación (responsable Proveedor)</t>
  </si>
  <si>
    <t>Calidad del set de datos (responsable Cliente)</t>
  </si>
  <si>
    <t>Calidad del set de datos (responsable Proveedor)</t>
  </si>
  <si>
    <t>Calidad del set de datos (responsable Choucair)</t>
  </si>
  <si>
    <t>Inestabilidad del ambiente de pruebas durante la ejecución (responsable Cliente)</t>
  </si>
  <si>
    <t>Inestabilidad del ambiente de pruebas durante la ejecución (responsable Proveedor)</t>
  </si>
  <si>
    <t>Inestabilidad del ambiente de pruebas durante la ejecución (responsable Compañía)</t>
  </si>
  <si>
    <t>Actividades de SW o HW no planeadas (responsable Cliente)</t>
  </si>
  <si>
    <t>Actividades de SW o HW no planeadas (responsable Proveedor)</t>
  </si>
  <si>
    <t>Actividades de SW o HW no planeadas (responsable Compañía)</t>
  </si>
  <si>
    <t>Incumplimiento en la entrega de artefactos (Responsable Cliente)</t>
  </si>
  <si>
    <t>Incumplimiento en la entrega de artefactos (Responsable Proveedor)</t>
  </si>
  <si>
    <t>Cambio de alcance (Responsable Cliente)</t>
  </si>
  <si>
    <t>Cambio de alcance (Responsable Proveedor)</t>
  </si>
  <si>
    <t>Ejecución en ambientes compartidos (responsable Cliente)</t>
  </si>
  <si>
    <t>Ejecución en ambientes compartidos (responsable Proveedor)</t>
  </si>
  <si>
    <t>Novedades equipo de trabajo (responsable Cliente)</t>
  </si>
  <si>
    <t>Novedades equipo de trabajo (responsable Proveedor)</t>
  </si>
  <si>
    <t>Novedades equipo de trabajo (responsable Compañía)</t>
  </si>
  <si>
    <t>Desconocimiento negocio (responsable Cliente)</t>
  </si>
  <si>
    <t>Desconocimiento negocio (responsable Proveedor)</t>
  </si>
  <si>
    <t>Desconocimiento negocio Cliente (responsable Compañía)</t>
  </si>
  <si>
    <t xml:space="preserve">Actividades del proyecto no planeadas (Responsable Cliente) </t>
  </si>
  <si>
    <t xml:space="preserve">Actividades del proyecto no planeadas (Responsable Choucair) </t>
  </si>
  <si>
    <t>Actividades no planeadas por la Compañía</t>
  </si>
  <si>
    <t>Eventos externos (imputable al Cliente)</t>
  </si>
  <si>
    <t>Eventos externos (imputable al Proveedor)</t>
  </si>
  <si>
    <t>Eventos externos (imputable a la Compañia)</t>
  </si>
  <si>
    <t>Marco de trabajo</t>
  </si>
  <si>
    <t>Ágil</t>
  </si>
  <si>
    <t>Cascada</t>
  </si>
  <si>
    <t>Responsable por parte del cliente</t>
  </si>
  <si>
    <t>Analista de pruebas</t>
  </si>
  <si>
    <t>Causales de Desfase  / Cod. HU</t>
  </si>
  <si>
    <t>Entrega</t>
  </si>
  <si>
    <t>Sugerida</t>
  </si>
  <si>
    <t>Responsable de la ocurrencia desfase</t>
  </si>
  <si>
    <t>Estado del Proyecto</t>
  </si>
  <si>
    <t>Etapa Prueba</t>
  </si>
  <si>
    <t>Cliente</t>
  </si>
  <si>
    <t>En Proceso</t>
  </si>
  <si>
    <t>Proveedor Desarrollo</t>
  </si>
  <si>
    <t>Suspendido</t>
  </si>
  <si>
    <t>Choucair</t>
  </si>
  <si>
    <t>Terminado</t>
  </si>
  <si>
    <t>Desfases</t>
  </si>
  <si>
    <t>Pruebas generales en requisitos</t>
  </si>
  <si>
    <t>Pruebas generales en diseño</t>
  </si>
  <si>
    <t>Pruebas generales en construcción</t>
  </si>
  <si>
    <t>Prueba de performance</t>
  </si>
  <si>
    <t>Prueba de seguridad</t>
  </si>
  <si>
    <t>Pruebas AFT</t>
  </si>
  <si>
    <t>Prueba de usabilidad</t>
  </si>
  <si>
    <t>Prueba para aplicaciones móviles</t>
  </si>
  <si>
    <t>Prueba de migración</t>
  </si>
  <si>
    <t>Prueba de BI</t>
  </si>
  <si>
    <t>Prueba de ERP</t>
  </si>
  <si>
    <t>Tipo Pruebas</t>
  </si>
  <si>
    <t>Si</t>
  </si>
  <si>
    <t>No</t>
  </si>
  <si>
    <t>--- Seleccione ---</t>
  </si>
  <si>
    <t>Construcción Funcional</t>
  </si>
  <si>
    <t>% FA Estimado</t>
  </si>
  <si>
    <t>Total horas</t>
  </si>
  <si>
    <t>% Factor de ajuste (FA)</t>
  </si>
  <si>
    <t>Total horas por factor de ajuste</t>
  </si>
  <si>
    <t>Estimado</t>
  </si>
  <si>
    <t>CONFIDENCIAL</t>
  </si>
  <si>
    <t>versión 3.9</t>
  </si>
  <si>
    <t>Choucair Cárdenas Testing. Todos los derechos reservados - 2011. Choucair ©</t>
  </si>
  <si>
    <t>–</t>
  </si>
  <si>
    <t>Id</t>
  </si>
  <si>
    <t>+</t>
  </si>
  <si>
    <t>-</t>
  </si>
  <si>
    <t>Agregar o eliminar filas &gt;&gt;</t>
  </si>
  <si>
    <t>Testing Project Leader</t>
  </si>
  <si>
    <t>Información Proyecto</t>
  </si>
  <si>
    <t>El contenido de la columna Fecha Acción (AAAA-MM-DD) es requerido y se diligencia de la siguiente manera: Escribir para las acciones de Creación y  Modificación del documento la fecha de iniciación de la acción, para la de Aprobación la fecha de su finalización y para Distribución la fecha de envío del documento.</t>
  </si>
  <si>
    <t>(2)</t>
  </si>
  <si>
    <t>C=Creación, M=Modificación, D=Distribución, A=Aprobación (Excluyentes)</t>
  </si>
  <si>
    <t>(1)</t>
  </si>
  <si>
    <t>Distribuido a</t>
  </si>
  <si>
    <t>Aprobado por</t>
  </si>
  <si>
    <t>Responsable de
la acción</t>
  </si>
  <si>
    <t>Resumen cambios</t>
  </si>
  <si>
    <t>Fecha
acción (2)</t>
  </si>
  <si>
    <t>Acción
C,M,D,A (1)</t>
  </si>
  <si>
    <t>Número
versión</t>
  </si>
  <si>
    <t>Factor Ajuste</t>
  </si>
  <si>
    <t>Acción</t>
  </si>
  <si>
    <t>Creación</t>
  </si>
  <si>
    <t>Modificación</t>
  </si>
  <si>
    <t>Distribución</t>
  </si>
  <si>
    <t>Aprobación</t>
  </si>
  <si>
    <t>SUSPENSIÓN - PRODUCTO DE PRUEBA</t>
  </si>
  <si>
    <t>Tabla</t>
  </si>
  <si>
    <t>Fila Referencia</t>
  </si>
  <si>
    <t>Filas Insertadas</t>
  </si>
  <si>
    <t>Parámetros</t>
  </si>
  <si>
    <t>Accion</t>
  </si>
  <si>
    <t>Funcionales en Construcción</t>
  </si>
  <si>
    <t>Producto - Etapa</t>
  </si>
  <si>
    <t>Motivo</t>
  </si>
  <si>
    <t>Observacion</t>
  </si>
  <si>
    <t>Firma</t>
  </si>
  <si>
    <t>aaaa-mm-dd</t>
  </si>
  <si>
    <t>Motivos que originaron la Suspensión</t>
  </si>
  <si>
    <t>Motivo Suspensión</t>
  </si>
  <si>
    <t>Aplica</t>
  </si>
  <si>
    <t>Aclaración de la Suspensión</t>
  </si>
  <si>
    <t>Ambigüedad crítica en la especificación o documentación</t>
  </si>
  <si>
    <t>Errores críticos que tengan que detener la prueba de la aplicación</t>
  </si>
  <si>
    <t>Problemas de ambiente</t>
  </si>
  <si>
    <t xml:space="preserve">Con el fin de comenzar nuevamente a probar, se solicita comunicar formalmente al equipo de pruebas la solución dada al inconveniente que causó la suspensión. </t>
  </si>
  <si>
    <t>En espera de la solución de este inconveniente para reanudar el proceso de pruebas.</t>
  </si>
  <si>
    <t>Observaciones Adicionales</t>
  </si>
  <si>
    <t>Cordialmente,</t>
  </si>
  <si>
    <t>Cargo</t>
  </si>
  <si>
    <t>Empresa</t>
  </si>
  <si>
    <t>Client Testing Manager</t>
  </si>
  <si>
    <t xml:space="preserve">Analista Líder Proyecto </t>
  </si>
  <si>
    <t xml:space="preserve">Fecha Recepción </t>
  </si>
  <si>
    <r>
      <rPr>
        <b/>
        <sz val="10"/>
        <color theme="1"/>
        <rFont val="Arial"/>
        <family val="2"/>
      </rPr>
      <t>Importante</t>
    </r>
    <r>
      <rPr>
        <sz val="10"/>
        <color theme="1"/>
        <rFont val="Arial"/>
        <family val="2"/>
      </rPr>
      <t>: Suspender una prueba puede implicar para el cliente un incremento del costo de la misma en el momento de retomarla, ya que si el equipo de pruebas responsable no está disponible, deberá realizar la transferencia del conocimiento al equipo que la retomará, en cuyo caso los tiempos se verán afectados.</t>
    </r>
  </si>
  <si>
    <t>Sandra Calderon</t>
  </si>
  <si>
    <t>Carolina Tibasosa</t>
  </si>
  <si>
    <t>Jorge Angulo</t>
  </si>
  <si>
    <t>Ana Milena Devia</t>
  </si>
  <si>
    <t>Oscar Corredor</t>
  </si>
  <si>
    <t>Oscar Sandoval</t>
  </si>
  <si>
    <t>Alejandro Fuentes</t>
  </si>
  <si>
    <t>Horas Estimadas</t>
  </si>
  <si>
    <t>Jorge Andres Blanco Escobar</t>
  </si>
  <si>
    <t>Sergio Andres Ruiz Bustos</t>
  </si>
  <si>
    <t>Yerizk Katerin Zarate Goyeneche</t>
  </si>
  <si>
    <t xml:space="preserve">Diego Alejandro Estrada Beltrán </t>
  </si>
  <si>
    <t>Martha Aidee Maldonado Marín</t>
  </si>
  <si>
    <t>Luisa Fernanda de la Pava Daza</t>
  </si>
  <si>
    <t>Mario Alberto Ramos Velandia</t>
  </si>
  <si>
    <t>Juan Manuel Sanchez Pineda</t>
  </si>
  <si>
    <t>Nain Grande Ortiz</t>
  </si>
  <si>
    <t>Nestor Fabian Delgado Poveda</t>
  </si>
  <si>
    <t xml:space="preserve">Sandra Lorena Manchola </t>
  </si>
  <si>
    <t>Vivian Carolina Mendoza Barón</t>
  </si>
  <si>
    <t>Guillermo Javier Romero Murcia</t>
  </si>
  <si>
    <t>Jhon Alexander Aldana Mahecha</t>
  </si>
  <si>
    <t>Gustavo Adolfo Simosa Sierra</t>
  </si>
  <si>
    <t>Omar David Nieto Puentes</t>
  </si>
  <si>
    <t>Jhon Edison Gil Lopez</t>
  </si>
  <si>
    <t>Harol Yesid Morera Camelo</t>
  </si>
  <si>
    <t>Francisco Andres Guzman Lara</t>
  </si>
  <si>
    <t>Daniela del Pilar Pico Hernandez</t>
  </si>
  <si>
    <t xml:space="preserve">Edwin Mauricio Ruiz Rubio </t>
  </si>
  <si>
    <t xml:space="preserve">Luisa Fernanda Rojas Rodríguez </t>
  </si>
  <si>
    <t>Yudit Andrea Torres Melo</t>
  </si>
  <si>
    <t>Angel Tobias Castillo Gomez</t>
  </si>
  <si>
    <t>SGL</t>
  </si>
  <si>
    <t>SATG</t>
  </si>
  <si>
    <t>SAPS</t>
  </si>
  <si>
    <t>APP</t>
  </si>
  <si>
    <t>Pechera</t>
  </si>
  <si>
    <t>Sandra Cardenas</t>
  </si>
  <si>
    <t>Yaneth Sanchez</t>
  </si>
  <si>
    <t>Vivian Gonzalez</t>
  </si>
  <si>
    <t>Juan Manuel Rodriguez</t>
  </si>
  <si>
    <t>Edwin Castellanos</t>
  </si>
  <si>
    <t>Diana C. Rodriguez</t>
  </si>
  <si>
    <t xml:space="preserve">Libardo Peña </t>
  </si>
  <si>
    <t>Eyesid Mongui</t>
  </si>
  <si>
    <t>Enith Ahumada</t>
  </si>
  <si>
    <t>Jenny Alexandra Chicuasuque</t>
  </si>
  <si>
    <t>CATALOGO DE IDEAS</t>
  </si>
  <si>
    <t>Flujo Normal</t>
  </si>
  <si>
    <t>Nombre del proyecto/requerimiento:</t>
  </si>
  <si>
    <t>Comentarios</t>
  </si>
  <si>
    <t>Calidad de artefacto recibido por parte del Cliente</t>
  </si>
  <si>
    <t>Calidad de artefacto recibido por parte del Proveedor</t>
  </si>
  <si>
    <t>HU</t>
  </si>
  <si>
    <t>Caso de Prueba</t>
  </si>
  <si>
    <t>Tiempo Real</t>
  </si>
  <si>
    <t>Fecha incio</t>
  </si>
  <si>
    <t>Fecha Fin</t>
  </si>
  <si>
    <t>Estado</t>
  </si>
  <si>
    <t>Resultado</t>
  </si>
  <si>
    <t>OK</t>
  </si>
  <si>
    <t>Fallido</t>
  </si>
  <si>
    <t>Tiempo Estimado</t>
  </si>
  <si>
    <t>Resumen del proyecto</t>
  </si>
  <si>
    <t>Total Casos Diseñados</t>
  </si>
  <si>
    <t>Total BUG Reportados</t>
  </si>
  <si>
    <t>Esfuerzo Estimado en ejecución</t>
  </si>
  <si>
    <t>Desfase en ejecución</t>
  </si>
  <si>
    <t>Esfuerzo Real en ejecución</t>
  </si>
  <si>
    <t>Total Casos Ejecutados</t>
  </si>
  <si>
    <t>Total de casos OK</t>
  </si>
  <si>
    <t xml:space="preserve">BUG </t>
  </si>
  <si>
    <t>Esfuerzo Estimado Proyecto</t>
  </si>
  <si>
    <t>Corrida 1</t>
  </si>
  <si>
    <t>Corrida 2</t>
  </si>
  <si>
    <t>Corrida 3</t>
  </si>
  <si>
    <t>Escenarios alto nivel</t>
  </si>
  <si>
    <t>http://opencart.abstracta.us/</t>
  </si>
  <si>
    <t>CP001</t>
  </si>
  <si>
    <t>CP002</t>
  </si>
  <si>
    <t>Modulo o Componente</t>
  </si>
  <si>
    <t>Tipo de flujo</t>
  </si>
  <si>
    <t>Tiempo estimado en minutos.</t>
  </si>
  <si>
    <t>Verificar que el registro de usuario sea exitoso con datos válidos.</t>
  </si>
  <si>
    <t>Verificar que se genere una alerta de error al ingresar datos invalidos.</t>
  </si>
  <si>
    <t>Verificar que no se permita el registro con un nombre de usuario o dirección de correo electrónico ya existente.</t>
  </si>
  <si>
    <t>Registro de usuario</t>
  </si>
  <si>
    <t>Inicio de sesión</t>
  </si>
  <si>
    <t>Verificar que se inicie sesión correctamente al ingresar credenciales validas.</t>
  </si>
  <si>
    <t>Verificar que al ingresar credenciales erroneas se genere una alerta indicando que los datos son incorrectos.</t>
  </si>
  <si>
    <t>Idea o cp</t>
  </si>
  <si>
    <t>CP para campos vacíos, CP PARA formato incorrecto y CP combinando.</t>
  </si>
  <si>
    <t>CP para solo pass, CP para user/email y CP combinado</t>
  </si>
  <si>
    <t>Verificar qie al iniciar sesión con una cuenta desactivada o bloqueada el sistema indique el estado de la cuenta.</t>
  </si>
  <si>
    <t>Prueba de búsqueda sin resultados.</t>
  </si>
  <si>
    <t>Prueba de búsqueda con parámetros inválidos o no admitidos.</t>
  </si>
  <si>
    <t>Verificar búsqueda exitosa de productos por categoría, nombre o palabra clave.</t>
  </si>
  <si>
    <t>CP por cada opción de búsqueda</t>
  </si>
  <si>
    <t>Verificar si se taen resultados o genera una alerta que indique que no se especifico parametro.</t>
  </si>
  <si>
    <t>Ingresar caracteres especiales.</t>
  </si>
  <si>
    <t>Verificar que no permita hacer algún tipo de inyección SQL por la barra de búsqueda de productos.</t>
  </si>
  <si>
    <t>Búsqueda de productos</t>
  </si>
  <si>
    <t>CP003</t>
  </si>
  <si>
    <t>CP004</t>
  </si>
  <si>
    <t>CP005</t>
  </si>
  <si>
    <t>CP006</t>
  </si>
  <si>
    <t>CP007</t>
  </si>
  <si>
    <t>CP008</t>
  </si>
  <si>
    <t>CP009</t>
  </si>
  <si>
    <t>CP010</t>
  </si>
  <si>
    <t>Prueba de agregar un producto agotado o sin stock al carrito.</t>
  </si>
  <si>
    <t>Verificar que se agregue un producto al carrito correctamente.</t>
  </si>
  <si>
    <t>CP para 1 producto, CP para 3 productos, CP para 15 productos.</t>
  </si>
  <si>
    <t>Verificar que se pueda agregar el mismo producto al carricto varias veces.</t>
  </si>
  <si>
    <t>Agregar productos al carrito</t>
  </si>
  <si>
    <t>Verificar información de los productos desde el botón "Car".</t>
  </si>
  <si>
    <t xml:space="preserve">Verificar que los productos y valores se reflejen correctamente al verlos desde el botón "Car (Botón negro)"  </t>
  </si>
  <si>
    <t>CP011</t>
  </si>
  <si>
    <t>CP012</t>
  </si>
  <si>
    <t>CP013</t>
  </si>
  <si>
    <t>CP014</t>
  </si>
  <si>
    <t>CP015</t>
  </si>
  <si>
    <t xml:space="preserve">Verificar que al agregar un producto al carrito el item y precio se actualicen correctamente en el botón "Car (Botón negro)"  </t>
  </si>
  <si>
    <t>Flujo normal</t>
  </si>
  <si>
    <t>Flujo alterno</t>
  </si>
  <si>
    <t>Flujo excepcional</t>
  </si>
  <si>
    <t>Tipo de prueba</t>
  </si>
  <si>
    <t>Prueba de carga para verificar el rendimiento del marketplace con múltiples usuarios simultáneos.</t>
  </si>
  <si>
    <t>Prueba de carga para evaluar el tiempo de respuesta en páginas de productos populares.</t>
  </si>
  <si>
    <t>Rendimiento y carga</t>
  </si>
  <si>
    <t>CP016</t>
  </si>
  <si>
    <t>CP017</t>
  </si>
  <si>
    <t>ID CP</t>
  </si>
  <si>
    <t>Precondicion</t>
  </si>
  <si>
    <t>Prioridad</t>
  </si>
  <si>
    <t>Criticidad</t>
  </si>
  <si>
    <t>1. Ingresar a la url http://opencart.abstracta.us/index.php?route=common/home. 2. Seleccionar opción "My Account" 3. Seleccionar opción Login. 4.Digitar en el campo "E-Mail Address" el correo asd15@gmail.com 5. Digitar en el campo "Password" la clave "14585asd*" 6. Seleccionar el botón "Login".</t>
  </si>
  <si>
    <t>Pasos/Resultado pasos</t>
  </si>
  <si>
    <t>Resultado Real CP</t>
  </si>
  <si>
    <r>
      <t xml:space="preserve">1. El navegador se debe redirigir al home de la pagina http://opencart.abstracta.us/ 2. Se desplega una lista con las opciones a. Register b.Login 3. El sistema se redirige a la url https://opencart.abstracta.us/index.php?route=account/login y muestra el formulario de inicio de sesión. 4. N/A 5. N/A </t>
    </r>
    <r>
      <rPr>
        <sz val="9"/>
        <color theme="3"/>
        <rFont val="Arial"/>
        <family val="2"/>
      </rPr>
      <t>6. El sistema genera la alerta " Warning: No match for E-Mail Address and/or Password."</t>
    </r>
  </si>
  <si>
    <t xml:space="preserve"> Al ingresar credenciales erroneas se genera una alerta indicando que los datos son incorrectos  " Warning: No match for E-Mail Address and/or Password.".</t>
  </si>
  <si>
    <t>Prueba de búsqueda  de prodcutos con parámetros inválidos o no admitidos.</t>
  </si>
  <si>
    <t xml:space="preserve">1. Ingresar a la url http://opencart.abstracta.us/index.php?route=common/home. 2. Digitar en la barra de búsqueda "/****//" </t>
  </si>
  <si>
    <t xml:space="preserve">1. El navegador se debe redirigir al home de la pagina http://opencart.abstracta.us/ 2. El sistema debe indicar que no se econtraron resultados para "/****//" </t>
  </si>
  <si>
    <t xml:space="preserve">Al realizar la búsqueda  de prodcutos con parámetros inválidos o no admitidos el sistema  indica que no se encontraron resultados para "/****//"  </t>
  </si>
  <si>
    <t>CP0010</t>
  </si>
  <si>
    <t xml:space="preserve">1. Ingresar a la url http://opencart.abstracta.us/index.php?route=common/home. 2. Digitar en la barra de búsqueda "OR '1'='1'; DROP TABLE Productos;" </t>
  </si>
  <si>
    <t xml:space="preserve">1. El navegador se debe redirigir al home de la pagina http://opencart.abstracta.us/ 2. El sistema debe indicar que no se econtraron resultados para "OR '1'='1'; DROP TABLE Productos;" </t>
  </si>
  <si>
    <t>Seguridad</t>
  </si>
  <si>
    <t xml:space="preserve">Al realizar la búsqueda  de prodcutos con parámetros inválidos o no admitidos el sistema  indica que no se encontraron resultados para ""OR '1'='1'; DROP TABLE Productos;"  </t>
  </si>
  <si>
    <t>Alta</t>
  </si>
  <si>
    <t>Baja</t>
  </si>
  <si>
    <t>Defición "Catalogo de ideas": Lo que hago es primero a simple vista especificar las ideas o posibles casos de prueba a nivel general para luego pasar al diseño de los casos que de realizan en la pagina "Diseño".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</si>
</sst>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00\ _€_-;\-* #,##0.00\ _€_-;_-* &quot;-&quot;??\ _€_-;_-@_-"/>
    <numFmt numFmtId="165" formatCode="_(&quot;$&quot;* #,##0.00_);_(&quot;$&quot;* \(#,##0.00\);_(&quot;$&quot;* &quot;-&quot;??_);_(@_)"/>
    <numFmt numFmtId="167" formatCode="yyyy\-mm\-dd"/>
    <numFmt numFmtId="169" formatCode="0.0"/>
    <numFmt numFmtId="170" formatCode="00000"/>
  </numFmts>
  <fonts count="40" x14ac:knownFonts="1">
    <font>
      <sz val="11"/>
      <color theme="1"/>
      <name val="Calibri"/>
      <family val="2"/>
      <scheme val="minor"/>
    </font>
    <font>
      <sz val="11"/>
      <color theme="1"/>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family val="2"/>
    </font>
    <font>
      <b/>
      <sz val="11"/>
      <color indexed="63"/>
      <name val="Calibri"/>
      <family val="2"/>
    </font>
    <font>
      <b/>
      <sz val="18"/>
      <color indexed="56"/>
      <name val="Cambria"/>
      <family val="2"/>
    </font>
    <font>
      <sz val="11"/>
      <color indexed="10"/>
      <name val="Calibri"/>
      <family val="2"/>
    </font>
    <font>
      <b/>
      <sz val="11"/>
      <color theme="1"/>
      <name val="Calibri"/>
      <family val="2"/>
      <scheme val="minor"/>
    </font>
    <font>
      <sz val="9"/>
      <color theme="1"/>
      <name val="Arial"/>
      <family val="2"/>
    </font>
    <font>
      <sz val="10"/>
      <color rgb="FF303030"/>
      <name val="Arial"/>
      <family val="2"/>
    </font>
    <font>
      <sz val="11"/>
      <color rgb="FFC0C0C0"/>
      <name val="Arial"/>
      <family val="2"/>
    </font>
    <font>
      <sz val="10"/>
      <color rgb="FFC0C0C0"/>
      <name val="Arial"/>
      <family val="2"/>
    </font>
    <font>
      <sz val="10"/>
      <color theme="1"/>
      <name val="Arial"/>
      <family val="2"/>
    </font>
    <font>
      <b/>
      <sz val="10"/>
      <color theme="1"/>
      <name val="Arial"/>
      <family val="2"/>
    </font>
    <font>
      <sz val="8"/>
      <color theme="1"/>
      <name val="Arial"/>
      <family val="2"/>
    </font>
    <font>
      <sz val="8"/>
      <color theme="0" tint="-0.249977111117893"/>
      <name val="Arial"/>
      <family val="2"/>
    </font>
    <font>
      <b/>
      <sz val="12"/>
      <color theme="1"/>
      <name val="Arial"/>
      <family val="2"/>
    </font>
    <font>
      <b/>
      <sz val="10"/>
      <name val="Arial"/>
      <family val="2"/>
    </font>
    <font>
      <sz val="10"/>
      <color theme="0"/>
      <name val="Arial"/>
      <family val="2"/>
    </font>
    <font>
      <i/>
      <sz val="11"/>
      <name val="Arial"/>
      <family val="2"/>
    </font>
    <font>
      <i/>
      <sz val="10"/>
      <name val="Arial"/>
      <family val="2"/>
    </font>
    <font>
      <i/>
      <sz val="10"/>
      <color theme="1"/>
      <name val="Arial"/>
      <family val="2"/>
    </font>
    <font>
      <b/>
      <sz val="9"/>
      <color rgb="FFFFFFFF"/>
      <name val="Arial"/>
      <family val="2"/>
    </font>
    <font>
      <sz val="9"/>
      <color rgb="FF000000"/>
      <name val="Arial"/>
      <family val="2"/>
    </font>
    <font>
      <sz val="8"/>
      <name val="Calibri"/>
      <family val="2"/>
      <scheme val="minor"/>
    </font>
    <font>
      <b/>
      <sz val="11"/>
      <color theme="0"/>
      <name val="Arial"/>
      <family val="2"/>
    </font>
    <font>
      <b/>
      <sz val="20"/>
      <color theme="1"/>
      <name val="Arial"/>
      <family val="2"/>
    </font>
    <font>
      <u/>
      <sz val="11"/>
      <color theme="10"/>
      <name val="Calibri"/>
      <family val="2"/>
      <scheme val="minor"/>
    </font>
    <font>
      <sz val="9"/>
      <color theme="3"/>
      <name val="Arial"/>
      <family val="2"/>
    </font>
  </fonts>
  <fills count="41">
    <fill>
      <patternFill patternType="none"/>
    </fill>
    <fill>
      <patternFill patternType="gray125"/>
    </fill>
    <fill>
      <patternFill patternType="solid">
        <fgColor theme="4"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theme="0"/>
        <bgColor indexed="64"/>
      </patternFill>
    </fill>
    <fill>
      <patternFill patternType="solid">
        <fgColor theme="2"/>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E9EFF7"/>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rgb="FFFFFFFF"/>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rgb="FFF44236"/>
        <bgColor indexed="64"/>
      </patternFill>
    </fill>
    <fill>
      <patternFill patternType="solid">
        <fgColor rgb="FF2095F2"/>
        <bgColor indexed="64"/>
      </patternFill>
    </fill>
    <fill>
      <patternFill patternType="solid">
        <fgColor rgb="FF4BAF4F"/>
        <bgColor indexed="64"/>
      </patternFill>
    </fill>
  </fills>
  <borders count="111">
    <border>
      <left/>
      <right/>
      <top/>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theme="0"/>
      </left>
      <right style="thin">
        <color theme="0"/>
      </right>
      <top/>
      <bottom style="thin">
        <color theme="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rgb="FFDDDDDD"/>
      </top>
      <bottom/>
      <diagonal/>
    </border>
    <border>
      <left/>
      <right/>
      <top/>
      <bottom style="thin">
        <color rgb="FFDDDDDD"/>
      </bottom>
      <diagonal/>
    </border>
    <border>
      <left/>
      <right style="thin">
        <color rgb="FF808080"/>
      </right>
      <top style="thin">
        <color rgb="FF808080"/>
      </top>
      <bottom style="thin">
        <color rgb="FF808080"/>
      </bottom>
      <diagonal/>
    </border>
    <border>
      <left/>
      <right/>
      <top style="thin">
        <color rgb="FF808080"/>
      </top>
      <bottom style="thin">
        <color rgb="FF808080"/>
      </bottom>
      <diagonal/>
    </border>
    <border>
      <left style="thin">
        <color rgb="FF808080"/>
      </left>
      <right/>
      <top style="thin">
        <color rgb="FF808080"/>
      </top>
      <bottom style="thin">
        <color rgb="FF808080"/>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rgb="FF808080"/>
      </right>
      <top/>
      <bottom style="thin">
        <color rgb="FF808080"/>
      </bottom>
      <diagonal/>
    </border>
    <border>
      <left/>
      <right/>
      <top/>
      <bottom style="thin">
        <color rgb="FF808080"/>
      </bottom>
      <diagonal/>
    </border>
    <border>
      <left style="thin">
        <color rgb="FF808080"/>
      </left>
      <right/>
      <top/>
      <bottom style="thin">
        <color rgb="FF808080"/>
      </bottom>
      <diagonal/>
    </border>
    <border>
      <left/>
      <right style="thin">
        <color rgb="FF808080"/>
      </right>
      <top/>
      <bottom/>
      <diagonal/>
    </border>
    <border>
      <left style="thin">
        <color rgb="FF808080"/>
      </left>
      <right/>
      <top/>
      <bottom/>
      <diagonal/>
    </border>
    <border>
      <left/>
      <right style="thin">
        <color rgb="FF808080"/>
      </right>
      <top style="thin">
        <color rgb="FF808080"/>
      </top>
      <bottom/>
      <diagonal/>
    </border>
    <border>
      <left/>
      <right/>
      <top style="thin">
        <color rgb="FF808080"/>
      </top>
      <bottom/>
      <diagonal/>
    </border>
    <border>
      <left style="thin">
        <color rgb="FF808080"/>
      </left>
      <right/>
      <top style="thin">
        <color rgb="FF808080"/>
      </top>
      <bottom/>
      <diagonal/>
    </border>
    <border>
      <left style="thin">
        <color rgb="FF808080"/>
      </left>
      <right style="thin">
        <color rgb="FF808080"/>
      </right>
      <top style="thin">
        <color rgb="FF808080"/>
      </top>
      <bottom style="thin">
        <color rgb="FF808080"/>
      </bottom>
      <diagonal/>
    </border>
    <border>
      <left style="thin">
        <color theme="0" tint="-0.499984740745262"/>
      </left>
      <right/>
      <top style="thin">
        <color rgb="FF808080"/>
      </top>
      <bottom style="thin">
        <color rgb="FF808080"/>
      </bottom>
      <diagonal/>
    </border>
    <border>
      <left style="thin">
        <color theme="0" tint="-0.499984740745262"/>
      </left>
      <right style="thin">
        <color theme="0" tint="-0.499984740745262"/>
      </right>
      <top style="thin">
        <color rgb="FF808080"/>
      </top>
      <bottom style="thin">
        <color rgb="FF808080"/>
      </bottom>
      <diagonal/>
    </border>
    <border>
      <left/>
      <right style="thin">
        <color theme="0" tint="-0.499984740745262"/>
      </right>
      <top style="thin">
        <color rgb="FF808080"/>
      </top>
      <bottom style="thin">
        <color rgb="FF808080"/>
      </bottom>
      <diagonal/>
    </border>
    <border>
      <left style="thin">
        <color rgb="FF808080"/>
      </left>
      <right style="thin">
        <color theme="0" tint="-0.499984740745262"/>
      </right>
      <top style="thin">
        <color rgb="FF808080"/>
      </top>
      <bottom style="thin">
        <color rgb="FF808080"/>
      </bottom>
      <diagonal/>
    </border>
    <border>
      <left style="thin">
        <color theme="0" tint="-0.499984740745262"/>
      </left>
      <right style="thin">
        <color rgb="FF808080"/>
      </right>
      <top style="thin">
        <color rgb="FF808080"/>
      </top>
      <bottom style="thin">
        <color rgb="FF808080"/>
      </bottom>
      <diagonal/>
    </border>
    <border>
      <left style="thin">
        <color rgb="FFC0C0C0"/>
      </left>
      <right style="thin">
        <color rgb="FF808080"/>
      </right>
      <top style="thin">
        <color rgb="FF808080"/>
      </top>
      <bottom/>
      <diagonal/>
    </border>
    <border>
      <left style="thin">
        <color rgb="FFC0C0C0"/>
      </left>
      <right style="thin">
        <color rgb="FFC0C0C0"/>
      </right>
      <top style="thin">
        <color rgb="FF808080"/>
      </top>
      <bottom/>
      <diagonal/>
    </border>
    <border>
      <left style="thin">
        <color rgb="FFC0C0C0"/>
      </left>
      <right style="thin">
        <color rgb="FFC0C0C0"/>
      </right>
      <top style="thin">
        <color rgb="FF808080"/>
      </top>
      <bottom style="thin">
        <color rgb="FF808080"/>
      </bottom>
      <diagonal/>
    </border>
    <border>
      <left style="thin">
        <color rgb="FF808080"/>
      </left>
      <right style="thin">
        <color rgb="FFC0C0C0"/>
      </right>
      <top style="thin">
        <color rgb="FF808080"/>
      </top>
      <bottom style="thin">
        <color rgb="FF808080"/>
      </bottom>
      <diagonal/>
    </border>
    <border>
      <left style="thin">
        <color rgb="FFC0C0C0"/>
      </left>
      <right style="thin">
        <color rgb="FF808080"/>
      </right>
      <top style="thin">
        <color rgb="FF808080"/>
      </top>
      <bottom style="thin">
        <color rgb="FF808080"/>
      </bottom>
      <diagonal/>
    </border>
    <border>
      <left style="thin">
        <color rgb="FF808080"/>
      </left>
      <right style="thin">
        <color rgb="FFC0C0C0"/>
      </right>
      <top style="thin">
        <color rgb="FF808080"/>
      </top>
      <bottom/>
      <diagonal/>
    </border>
    <border>
      <left style="thin">
        <color rgb="FFC0C0C0"/>
      </left>
      <right/>
      <top/>
      <bottom style="thin">
        <color rgb="FF808080"/>
      </bottom>
      <diagonal/>
    </border>
    <border>
      <left/>
      <right style="thin">
        <color rgb="FFC0C0C0"/>
      </right>
      <top/>
      <bottom style="thin">
        <color rgb="FF808080"/>
      </bottom>
      <diagonal/>
    </border>
    <border>
      <left style="thin">
        <color rgb="FFC0C0C0"/>
      </left>
      <right/>
      <top style="thin">
        <color rgb="FF808080"/>
      </top>
      <bottom/>
      <diagonal/>
    </border>
    <border>
      <left/>
      <right style="thin">
        <color rgb="FFC0C0C0"/>
      </right>
      <top style="thin">
        <color rgb="FF808080"/>
      </top>
      <bottom/>
      <diagonal/>
    </border>
    <border>
      <left/>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F44236"/>
      </left>
      <right/>
      <top style="thin">
        <color rgb="FFF44236"/>
      </top>
      <bottom style="thin">
        <color rgb="FFF44236"/>
      </bottom>
      <diagonal/>
    </border>
    <border>
      <left/>
      <right/>
      <top style="thin">
        <color rgb="FFF44236"/>
      </top>
      <bottom style="thin">
        <color rgb="FFF44236"/>
      </bottom>
      <diagonal/>
    </border>
    <border>
      <left style="thin">
        <color rgb="FFF44236"/>
      </left>
      <right/>
      <top style="thin">
        <color rgb="FFF44236"/>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right/>
      <top style="thin">
        <color rgb="FFF44236"/>
      </top>
      <bottom/>
      <diagonal/>
    </border>
    <border>
      <left/>
      <right style="thin">
        <color rgb="FFF44236"/>
      </right>
      <top style="thin">
        <color rgb="FFF44236"/>
      </top>
      <bottom/>
      <diagonal/>
    </border>
    <border>
      <left style="thin">
        <color rgb="FFF44236"/>
      </left>
      <right style="thin">
        <color theme="0" tint="-0.499984740745262"/>
      </right>
      <top style="thin">
        <color rgb="FFF44236"/>
      </top>
      <bottom style="thin">
        <color theme="0" tint="-0.499984740745262"/>
      </bottom>
      <diagonal/>
    </border>
    <border>
      <left style="thin">
        <color theme="0" tint="-0.499984740745262"/>
      </left>
      <right style="thin">
        <color theme="0" tint="-0.499984740745262"/>
      </right>
      <top style="thin">
        <color rgb="FFF44236"/>
      </top>
      <bottom style="thin">
        <color theme="0" tint="-0.499984740745262"/>
      </bottom>
      <diagonal/>
    </border>
    <border>
      <left style="thin">
        <color theme="0" tint="-0.499984740745262"/>
      </left>
      <right style="thin">
        <color rgb="FFF44236"/>
      </right>
      <top style="thin">
        <color rgb="FFF44236"/>
      </top>
      <bottom style="thin">
        <color theme="0" tint="-0.499984740745262"/>
      </bottom>
      <diagonal/>
    </border>
    <border>
      <left style="thin">
        <color rgb="FFF44236"/>
      </left>
      <right/>
      <top/>
      <bottom/>
      <diagonal/>
    </border>
    <border>
      <left/>
      <right style="thin">
        <color rgb="FFF44236"/>
      </right>
      <top/>
      <bottom/>
      <diagonal/>
    </border>
    <border>
      <left style="thin">
        <color rgb="FFF44236"/>
      </left>
      <right style="thin">
        <color theme="0" tint="-0.499984740745262"/>
      </right>
      <top style="thin">
        <color theme="0" tint="-0.499984740745262"/>
      </top>
      <bottom style="thin">
        <color theme="0" tint="-0.499984740745262"/>
      </bottom>
      <diagonal/>
    </border>
    <border>
      <left style="thin">
        <color theme="0" tint="-0.499984740745262"/>
      </left>
      <right style="thin">
        <color rgb="FFF44236"/>
      </right>
      <top style="thin">
        <color theme="0" tint="-0.499984740745262"/>
      </top>
      <bottom style="thin">
        <color theme="0" tint="-0.499984740745262"/>
      </bottom>
      <diagonal/>
    </border>
    <border>
      <left style="thin">
        <color rgb="FFF44236"/>
      </left>
      <right/>
      <top/>
      <bottom style="thin">
        <color rgb="FFF44236"/>
      </bottom>
      <diagonal/>
    </border>
    <border>
      <left/>
      <right/>
      <top/>
      <bottom style="thin">
        <color rgb="FFF44236"/>
      </bottom>
      <diagonal/>
    </border>
    <border>
      <left/>
      <right style="thin">
        <color rgb="FFF44236"/>
      </right>
      <top/>
      <bottom style="thin">
        <color rgb="FFF44236"/>
      </bottom>
      <diagonal/>
    </border>
    <border>
      <left style="thin">
        <color rgb="FFF44236"/>
      </left>
      <right style="thin">
        <color theme="0" tint="-0.499984740745262"/>
      </right>
      <top style="thin">
        <color theme="0" tint="-0.499984740745262"/>
      </top>
      <bottom style="thin">
        <color rgb="FFF44236"/>
      </bottom>
      <diagonal/>
    </border>
    <border>
      <left style="thin">
        <color theme="0" tint="-0.499984740745262"/>
      </left>
      <right style="thin">
        <color theme="0" tint="-0.499984740745262"/>
      </right>
      <top style="thin">
        <color theme="0" tint="-0.499984740745262"/>
      </top>
      <bottom style="thin">
        <color rgb="FFF44236"/>
      </bottom>
      <diagonal/>
    </border>
    <border>
      <left style="thin">
        <color theme="0" tint="-0.499984740745262"/>
      </left>
      <right style="thin">
        <color rgb="FFF44236"/>
      </right>
      <top style="thin">
        <color theme="0" tint="-0.499984740745262"/>
      </top>
      <bottom style="thin">
        <color rgb="FFF44236"/>
      </bottom>
      <diagonal/>
    </border>
    <border>
      <left style="thin">
        <color rgb="FF2095F2"/>
      </left>
      <right/>
      <top style="thin">
        <color rgb="FF2095F2"/>
      </top>
      <bottom style="thin">
        <color rgb="FF2095F2"/>
      </bottom>
      <diagonal/>
    </border>
    <border>
      <left/>
      <right/>
      <top style="thin">
        <color rgb="FF2095F2"/>
      </top>
      <bottom style="thin">
        <color rgb="FF2095F2"/>
      </bottom>
      <diagonal/>
    </border>
    <border>
      <left style="thin">
        <color rgb="FF2095F2"/>
      </left>
      <right/>
      <top style="thin">
        <color rgb="FF2095F2"/>
      </top>
      <bottom/>
      <diagonal/>
    </border>
    <border>
      <left/>
      <right/>
      <top style="thin">
        <color rgb="FF2095F2"/>
      </top>
      <bottom/>
      <diagonal/>
    </border>
    <border>
      <left/>
      <right style="thin">
        <color rgb="FF2095F2"/>
      </right>
      <top style="thin">
        <color rgb="FF2095F2"/>
      </top>
      <bottom/>
      <diagonal/>
    </border>
    <border>
      <left style="thin">
        <color rgb="FF2095F2"/>
      </left>
      <right/>
      <top/>
      <bottom/>
      <diagonal/>
    </border>
    <border>
      <left/>
      <right style="thin">
        <color rgb="FF2095F2"/>
      </right>
      <top/>
      <bottom/>
      <diagonal/>
    </border>
    <border>
      <left style="thin">
        <color rgb="FF2095F2"/>
      </left>
      <right/>
      <top/>
      <bottom style="thin">
        <color rgb="FF2095F2"/>
      </bottom>
      <diagonal/>
    </border>
    <border>
      <left/>
      <right/>
      <top/>
      <bottom style="thin">
        <color rgb="FF2095F2"/>
      </bottom>
      <diagonal/>
    </border>
    <border>
      <left/>
      <right style="thin">
        <color rgb="FF2095F2"/>
      </right>
      <top/>
      <bottom style="thin">
        <color rgb="FF2095F2"/>
      </bottom>
      <diagonal/>
    </border>
    <border>
      <left style="thin">
        <color rgb="FF4BAF4F"/>
      </left>
      <right/>
      <top/>
      <bottom style="thin">
        <color rgb="FF4BAF4F"/>
      </bottom>
      <diagonal/>
    </border>
    <border>
      <left/>
      <right/>
      <top/>
      <bottom style="thin">
        <color rgb="FF4BAF4F"/>
      </bottom>
      <diagonal/>
    </border>
    <border>
      <left style="thin">
        <color rgb="FF4BAF4F"/>
      </left>
      <right/>
      <top style="thin">
        <color rgb="FF4BAF4F"/>
      </top>
      <bottom/>
      <diagonal/>
    </border>
    <border>
      <left/>
      <right/>
      <top style="thin">
        <color rgb="FF4BAF4F"/>
      </top>
      <bottom/>
      <diagonal/>
    </border>
    <border>
      <left/>
      <right style="thin">
        <color rgb="FF4BAF4F"/>
      </right>
      <top style="thin">
        <color rgb="FF4BAF4F"/>
      </top>
      <bottom/>
      <diagonal/>
    </border>
    <border>
      <left style="thin">
        <color rgb="FF4BAF4F"/>
      </left>
      <right/>
      <top/>
      <bottom/>
      <diagonal/>
    </border>
    <border>
      <left/>
      <right style="thin">
        <color rgb="FF4BAF4F"/>
      </right>
      <top/>
      <bottom/>
      <diagonal/>
    </border>
    <border>
      <left/>
      <right style="thin">
        <color rgb="FF4BAF4F"/>
      </right>
      <top/>
      <bottom style="thin">
        <color rgb="FF4BAF4F"/>
      </bottom>
      <diagonal/>
    </border>
    <border>
      <left style="thin">
        <color theme="0" tint="-0.499984740745262"/>
      </left>
      <right/>
      <top/>
      <bottom style="thin">
        <color theme="0" tint="-0.499984740745262"/>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56">
    <xf numFmtId="0" fontId="0" fillId="0" borderId="0"/>
    <xf numFmtId="164" fontId="1" fillId="0" borderId="0" applyFont="0" applyFill="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6" borderId="0" applyNumberFormat="0" applyBorder="0" applyAlignment="0" applyProtection="0"/>
    <xf numFmtId="0" fontId="2" fillId="9"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20" borderId="0" applyNumberFormat="0" applyBorder="0" applyAlignment="0" applyProtection="0"/>
    <xf numFmtId="0" fontId="4" fillId="4" borderId="0" applyNumberFormat="0" applyBorder="0" applyAlignment="0" applyProtection="0"/>
    <xf numFmtId="0" fontId="5" fillId="21" borderId="2" applyNumberFormat="0" applyAlignment="0" applyProtection="0"/>
    <xf numFmtId="0" fontId="6" fillId="22" borderId="3" applyNumberFormat="0" applyAlignment="0" applyProtection="0"/>
    <xf numFmtId="0" fontId="7" fillId="0" borderId="0" applyNumberFormat="0" applyFill="0" applyBorder="0" applyAlignment="0" applyProtection="0"/>
    <xf numFmtId="0" fontId="8" fillId="5" borderId="0" applyNumberFormat="0" applyBorder="0" applyAlignment="0" applyProtection="0"/>
    <xf numFmtId="0" fontId="9" fillId="0" borderId="4" applyNumberFormat="0" applyFill="0" applyAlignment="0" applyProtection="0"/>
    <xf numFmtId="0" fontId="10" fillId="0" borderId="5" applyNumberFormat="0" applyFill="0" applyAlignment="0" applyProtection="0"/>
    <xf numFmtId="0" fontId="11" fillId="0" borderId="6" applyNumberFormat="0" applyFill="0" applyAlignment="0" applyProtection="0"/>
    <xf numFmtId="0" fontId="11" fillId="0" borderId="0" applyNumberFormat="0" applyFill="0" applyBorder="0" applyAlignment="0" applyProtection="0"/>
    <xf numFmtId="0" fontId="12" fillId="8" borderId="2" applyNumberFormat="0" applyAlignment="0" applyProtection="0"/>
    <xf numFmtId="0" fontId="13" fillId="0" borderId="7" applyNumberFormat="0" applyFill="0" applyAlignment="0" applyProtection="0"/>
    <xf numFmtId="165" fontId="14" fillId="0" borderId="0" applyFont="0" applyFill="0" applyBorder="0" applyAlignment="0" applyProtection="0"/>
    <xf numFmtId="165" fontId="14" fillId="0" borderId="0" applyFont="0" applyFill="0" applyBorder="0" applyAlignment="0" applyProtection="0"/>
    <xf numFmtId="165"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23" borderId="8" applyNumberFormat="0" applyFont="0" applyAlignment="0" applyProtection="0"/>
    <xf numFmtId="0" fontId="15" fillId="21" borderId="9"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9" fontId="1" fillId="0" borderId="0" applyFont="0" applyFill="0" applyBorder="0" applyAlignment="0" applyProtection="0"/>
    <xf numFmtId="0" fontId="14" fillId="0" borderId="0"/>
    <xf numFmtId="0" fontId="14" fillId="0" borderId="0"/>
    <xf numFmtId="43" fontId="1" fillId="0" borderId="0" applyFont="0" applyFill="0" applyBorder="0" applyAlignment="0" applyProtection="0"/>
    <xf numFmtId="0" fontId="38" fillId="0" borderId="0" applyNumberFormat="0" applyFill="0" applyBorder="0" applyAlignment="0" applyProtection="0"/>
  </cellStyleXfs>
  <cellXfs count="303">
    <xf numFmtId="0" fontId="0" fillId="0" borderId="0" xfId="0"/>
    <xf numFmtId="0" fontId="18" fillId="0" borderId="0" xfId="0" applyFont="1"/>
    <xf numFmtId="0" fontId="0" fillId="0" borderId="10" xfId="0" applyBorder="1" applyAlignment="1">
      <alignment horizontal="left" vertical="center" wrapText="1" indent="1"/>
    </xf>
    <xf numFmtId="0" fontId="0" fillId="0" borderId="0" xfId="0" applyAlignment="1">
      <alignment horizontal="center" vertical="center"/>
    </xf>
    <xf numFmtId="0" fontId="20" fillId="0" borderId="11" xfId="0" quotePrefix="1" applyFont="1" applyBorder="1" applyAlignment="1">
      <alignment vertical="center" wrapText="1"/>
    </xf>
    <xf numFmtId="0" fontId="20" fillId="0" borderId="14" xfId="0" quotePrefix="1" applyFont="1" applyBorder="1" applyAlignment="1">
      <alignment vertical="center" wrapText="1"/>
    </xf>
    <xf numFmtId="0" fontId="0" fillId="0" borderId="0" xfId="0" applyAlignment="1">
      <alignment horizontal="center" vertical="center" wrapText="1"/>
    </xf>
    <xf numFmtId="0" fontId="0" fillId="0" borderId="23" xfId="0" applyBorder="1"/>
    <xf numFmtId="0" fontId="0" fillId="0" borderId="24" xfId="0" applyBorder="1"/>
    <xf numFmtId="0" fontId="23" fillId="0" borderId="0" xfId="0" applyFont="1"/>
    <xf numFmtId="0" fontId="25" fillId="0" borderId="0" xfId="0" quotePrefix="1" applyFont="1" applyAlignment="1">
      <alignment horizontal="center" vertical="top"/>
    </xf>
    <xf numFmtId="0" fontId="26" fillId="0" borderId="52" xfId="0" applyFont="1" applyBorder="1" applyAlignment="1">
      <alignment horizontal="right" vertical="top"/>
    </xf>
    <xf numFmtId="0" fontId="0" fillId="0" borderId="55" xfId="0" applyBorder="1"/>
    <xf numFmtId="0" fontId="0" fillId="0" borderId="52" xfId="0" applyBorder="1"/>
    <xf numFmtId="0" fontId="0" fillId="0" borderId="57" xfId="0" applyBorder="1"/>
    <xf numFmtId="0" fontId="23" fillId="0" borderId="0" xfId="0" applyFont="1" applyAlignment="1">
      <alignment horizontal="left" vertical="center" indent="1"/>
    </xf>
    <xf numFmtId="0" fontId="20" fillId="0" borderId="13" xfId="0" quotePrefix="1" applyFont="1" applyBorder="1" applyAlignment="1">
      <alignment vertical="center" wrapText="1"/>
    </xf>
    <xf numFmtId="0" fontId="20" fillId="0" borderId="12" xfId="0" quotePrefix="1" applyFont="1" applyBorder="1" applyAlignment="1">
      <alignment vertical="center" wrapText="1"/>
    </xf>
    <xf numFmtId="0" fontId="24" fillId="26" borderId="11" xfId="0" applyFont="1" applyFill="1" applyBorder="1" applyAlignment="1">
      <alignment horizontal="center" vertical="center" wrapText="1"/>
    </xf>
    <xf numFmtId="0" fontId="23" fillId="27" borderId="11" xfId="0" applyFont="1" applyFill="1" applyBorder="1" applyAlignment="1">
      <alignment horizontal="center" vertical="center"/>
    </xf>
    <xf numFmtId="0" fontId="24" fillId="26" borderId="11" xfId="0" applyFont="1" applyFill="1" applyBorder="1" applyAlignment="1">
      <alignment horizontal="center" vertical="center"/>
    </xf>
    <xf numFmtId="0" fontId="23" fillId="0" borderId="16" xfId="0" quotePrefix="1" applyFont="1" applyBorder="1" applyAlignment="1">
      <alignment horizontal="center" vertical="center" wrapText="1"/>
    </xf>
    <xf numFmtId="0" fontId="23" fillId="0" borderId="15" xfId="0" quotePrefix="1" applyFont="1" applyBorder="1" applyAlignment="1">
      <alignment horizontal="center" vertical="center" wrapText="1"/>
    </xf>
    <xf numFmtId="0" fontId="23" fillId="0" borderId="58" xfId="0" quotePrefix="1" applyFont="1" applyBorder="1" applyAlignment="1">
      <alignment horizontal="center" vertical="center" wrapText="1"/>
    </xf>
    <xf numFmtId="0" fontId="23" fillId="0" borderId="0" xfId="0" applyFont="1" applyAlignment="1">
      <alignment horizontal="center"/>
    </xf>
    <xf numFmtId="0" fontId="23" fillId="0" borderId="16" xfId="0" applyFont="1" applyBorder="1" applyAlignment="1">
      <alignment vertical="center" wrapText="1"/>
    </xf>
    <xf numFmtId="0" fontId="23" fillId="0" borderId="15" xfId="0" applyFont="1" applyBorder="1" applyAlignment="1">
      <alignment vertical="center" wrapText="1"/>
    </xf>
    <xf numFmtId="0" fontId="23" fillId="0" borderId="11" xfId="0" applyFont="1" applyBorder="1" applyAlignment="1">
      <alignment vertical="center" wrapText="1"/>
    </xf>
    <xf numFmtId="0" fontId="23" fillId="0" borderId="58" xfId="0" applyFont="1" applyBorder="1" applyAlignment="1">
      <alignment vertical="center" wrapText="1"/>
    </xf>
    <xf numFmtId="0" fontId="23" fillId="0" borderId="14" xfId="0" applyFont="1" applyBorder="1" applyAlignment="1">
      <alignment vertical="center" wrapText="1"/>
    </xf>
    <xf numFmtId="0" fontId="24" fillId="26" borderId="17" xfId="0" applyFont="1" applyFill="1" applyBorder="1" applyAlignment="1">
      <alignment horizontal="center" vertical="center" wrapText="1"/>
    </xf>
    <xf numFmtId="0" fontId="24" fillId="26" borderId="58" xfId="0" applyFont="1" applyFill="1" applyBorder="1" applyAlignment="1">
      <alignment horizontal="center" vertical="center" wrapText="1"/>
    </xf>
    <xf numFmtId="0" fontId="23" fillId="0" borderId="58" xfId="0" applyFont="1" applyBorder="1" applyAlignment="1">
      <alignment horizontal="center"/>
    </xf>
    <xf numFmtId="0" fontId="23" fillId="0" borderId="59" xfId="0" applyFont="1" applyBorder="1" applyAlignment="1">
      <alignment wrapText="1"/>
    </xf>
    <xf numFmtId="0" fontId="0" fillId="2" borderId="0" xfId="0" applyFill="1" applyAlignment="1">
      <alignment horizontal="center" vertical="center"/>
    </xf>
    <xf numFmtId="0" fontId="25" fillId="0" borderId="0" xfId="0" applyFont="1"/>
    <xf numFmtId="0" fontId="23" fillId="0" borderId="0" xfId="0" applyFont="1" applyAlignment="1">
      <alignment wrapText="1"/>
    </xf>
    <xf numFmtId="0" fontId="23" fillId="0" borderId="0" xfId="0" applyFont="1" applyAlignment="1">
      <alignment vertical="center" wrapText="1"/>
    </xf>
    <xf numFmtId="0" fontId="23" fillId="0" borderId="0" xfId="0" quotePrefix="1" applyFont="1" applyAlignment="1">
      <alignment vertical="center" wrapText="1"/>
    </xf>
    <xf numFmtId="0" fontId="23" fillId="0" borderId="0" xfId="0" applyFont="1" applyAlignment="1">
      <alignment horizontal="justify" vertical="center" wrapText="1"/>
    </xf>
    <xf numFmtId="0" fontId="23" fillId="30" borderId="35" xfId="0" applyFont="1" applyFill="1" applyBorder="1" applyAlignment="1" applyProtection="1">
      <alignment horizontal="center" vertical="top" wrapText="1"/>
      <protection locked="0"/>
    </xf>
    <xf numFmtId="0" fontId="23" fillId="30" borderId="32" xfId="0" applyFont="1" applyFill="1" applyBorder="1" applyAlignment="1" applyProtection="1">
      <alignment horizontal="center" vertical="top" wrapText="1"/>
      <protection locked="0"/>
    </xf>
    <xf numFmtId="0" fontId="23" fillId="30" borderId="30" xfId="0" applyFont="1" applyFill="1" applyBorder="1" applyAlignment="1" applyProtection="1">
      <alignment horizontal="center" vertical="top" wrapText="1"/>
      <protection locked="0"/>
    </xf>
    <xf numFmtId="0" fontId="0" fillId="0" borderId="19" xfId="0" applyBorder="1"/>
    <xf numFmtId="0" fontId="24" fillId="2" borderId="11" xfId="0" applyFont="1" applyFill="1" applyBorder="1" applyAlignment="1">
      <alignment horizontal="center" vertical="center"/>
    </xf>
    <xf numFmtId="0" fontId="23" fillId="0" borderId="0" xfId="0" applyFont="1" applyAlignment="1">
      <alignment horizontal="center" vertical="center"/>
    </xf>
    <xf numFmtId="0" fontId="23" fillId="26" borderId="11" xfId="0" applyFont="1" applyFill="1" applyBorder="1" applyAlignment="1">
      <alignment horizontal="center" vertical="center"/>
    </xf>
    <xf numFmtId="0" fontId="28" fillId="28" borderId="11" xfId="0" applyFont="1" applyFill="1" applyBorder="1"/>
    <xf numFmtId="0" fontId="24" fillId="2" borderId="11" xfId="0" applyFont="1" applyFill="1" applyBorder="1"/>
    <xf numFmtId="0" fontId="24" fillId="2" borderId="11" xfId="0" applyFont="1" applyFill="1" applyBorder="1" applyAlignment="1">
      <alignment horizontal="center"/>
    </xf>
    <xf numFmtId="0" fontId="23" fillId="0" borderId="11" xfId="0" applyFont="1" applyBorder="1" applyAlignment="1">
      <alignment horizontal="left" vertical="center" wrapText="1" indent="1"/>
    </xf>
    <xf numFmtId="9" fontId="23" fillId="0" borderId="11" xfId="0" applyNumberFormat="1" applyFont="1" applyBorder="1" applyAlignment="1">
      <alignment horizontal="center" vertical="center"/>
    </xf>
    <xf numFmtId="0" fontId="24" fillId="29" borderId="11" xfId="0" applyFont="1" applyFill="1" applyBorder="1" applyAlignment="1">
      <alignment horizontal="left" vertical="center" wrapText="1" indent="1"/>
    </xf>
    <xf numFmtId="9" fontId="24" fillId="29" borderId="11" xfId="0" applyNumberFormat="1" applyFont="1" applyFill="1" applyBorder="1" applyAlignment="1">
      <alignment horizontal="center" vertical="center"/>
    </xf>
    <xf numFmtId="1" fontId="24" fillId="29" borderId="11" xfId="0" applyNumberFormat="1" applyFont="1" applyFill="1" applyBorder="1" applyAlignment="1">
      <alignment horizontal="center" vertical="center"/>
    </xf>
    <xf numFmtId="9" fontId="0" fillId="0" borderId="0" xfId="51" applyFont="1"/>
    <xf numFmtId="0" fontId="14" fillId="0" borderId="0" xfId="40"/>
    <xf numFmtId="0" fontId="14" fillId="0" borderId="0" xfId="40" applyAlignment="1">
      <alignment wrapText="1"/>
    </xf>
    <xf numFmtId="0" fontId="30" fillId="0" borderId="0" xfId="40" applyFont="1" applyAlignment="1">
      <alignment horizontal="center" vertical="center" wrapText="1"/>
    </xf>
    <xf numFmtId="170" fontId="29" fillId="0" borderId="52" xfId="53" applyNumberFormat="1" applyFont="1" applyBorder="1" applyAlignment="1">
      <alignment horizontal="left"/>
    </xf>
    <xf numFmtId="170" fontId="29" fillId="0" borderId="23" xfId="53" applyNumberFormat="1" applyFont="1" applyBorder="1" applyAlignment="1">
      <alignment horizontal="left"/>
    </xf>
    <xf numFmtId="0" fontId="14" fillId="24" borderId="1" xfId="40" applyFill="1" applyBorder="1" applyAlignment="1">
      <alignment horizontal="center" vertical="center"/>
    </xf>
    <xf numFmtId="0" fontId="14" fillId="24" borderId="0" xfId="40" applyFill="1"/>
    <xf numFmtId="0" fontId="31" fillId="0" borderId="1" xfId="40" applyFont="1" applyBorder="1" applyAlignment="1">
      <alignment horizontal="center" vertical="center"/>
    </xf>
    <xf numFmtId="0" fontId="14" fillId="0" borderId="0" xfId="40" applyProtection="1">
      <protection locked="0"/>
    </xf>
    <xf numFmtId="0" fontId="14" fillId="0" borderId="0" xfId="40" applyAlignment="1" applyProtection="1">
      <alignment vertical="center" wrapText="1"/>
      <protection locked="0"/>
    </xf>
    <xf numFmtId="0" fontId="14" fillId="0" borderId="0" xfId="40" applyAlignment="1">
      <alignment horizontal="center" vertical="center"/>
    </xf>
    <xf numFmtId="0" fontId="29" fillId="0" borderId="0" xfId="40" applyFont="1"/>
    <xf numFmtId="49" fontId="34" fillId="34" borderId="62" xfId="0" applyNumberFormat="1" applyFont="1" applyFill="1" applyBorder="1" applyAlignment="1">
      <alignment horizontal="center" vertical="center" wrapText="1"/>
    </xf>
    <xf numFmtId="0" fontId="34" fillId="34" borderId="62" xfId="0" applyFont="1" applyFill="1" applyBorder="1" applyAlignment="1">
      <alignment horizontal="center" vertical="center" wrapText="1"/>
    </xf>
    <xf numFmtId="0" fontId="34" fillId="34" borderId="63" xfId="0" applyFont="1" applyFill="1" applyBorder="1" applyAlignment="1">
      <alignment horizontal="center" vertical="center" wrapText="1"/>
    </xf>
    <xf numFmtId="0" fontId="34" fillId="34" borderId="1" xfId="0" applyFont="1" applyFill="1" applyBorder="1" applyAlignment="1">
      <alignment horizontal="left" vertical="center" wrapText="1"/>
    </xf>
    <xf numFmtId="0" fontId="34" fillId="34" borderId="1" xfId="0" applyFont="1" applyFill="1" applyBorder="1" applyAlignment="1">
      <alignment horizontal="center" vertical="center" wrapText="1"/>
    </xf>
    <xf numFmtId="0" fontId="23" fillId="35" borderId="58" xfId="0" applyFont="1" applyFill="1" applyBorder="1" applyAlignment="1">
      <alignment vertical="center" wrapText="1"/>
    </xf>
    <xf numFmtId="0" fontId="23" fillId="36" borderId="58" xfId="0" applyFont="1" applyFill="1" applyBorder="1" applyAlignment="1">
      <alignment vertical="center" wrapText="1"/>
    </xf>
    <xf numFmtId="14" fontId="34" fillId="34" borderId="1" xfId="0" applyNumberFormat="1" applyFont="1" applyFill="1" applyBorder="1" applyAlignment="1">
      <alignment horizontal="center" vertical="center" wrapText="1"/>
    </xf>
    <xf numFmtId="14" fontId="23" fillId="26" borderId="11" xfId="0" applyNumberFormat="1" applyFont="1" applyFill="1" applyBorder="1" applyAlignment="1">
      <alignment horizontal="center" vertical="center"/>
    </xf>
    <xf numFmtId="14" fontId="34" fillId="34" borderId="1" xfId="0" applyNumberFormat="1" applyFont="1" applyFill="1" applyBorder="1" applyAlignment="1">
      <alignment horizontal="left" vertical="center" wrapText="1"/>
    </xf>
    <xf numFmtId="49" fontId="33" fillId="37" borderId="62" xfId="0" applyNumberFormat="1" applyFont="1" applyFill="1" applyBorder="1" applyAlignment="1">
      <alignment horizontal="center" vertical="center" wrapText="1"/>
    </xf>
    <xf numFmtId="0" fontId="33" fillId="37" borderId="62" xfId="0" applyFont="1" applyFill="1" applyBorder="1" applyAlignment="1">
      <alignment horizontal="center" vertical="center"/>
    </xf>
    <xf numFmtId="1" fontId="34" fillId="34" borderId="1" xfId="0" applyNumberFormat="1" applyFont="1" applyFill="1" applyBorder="1" applyAlignment="1">
      <alignment horizontal="center" vertical="center" wrapText="1"/>
    </xf>
    <xf numFmtId="1" fontId="34" fillId="34" borderId="1" xfId="0" applyNumberFormat="1" applyFont="1" applyFill="1" applyBorder="1" applyAlignment="1">
      <alignment horizontal="left" vertical="center" wrapText="1"/>
    </xf>
    <xf numFmtId="0" fontId="34" fillId="34" borderId="67" xfId="0" applyFont="1" applyFill="1" applyBorder="1" applyAlignment="1">
      <alignment horizontal="center" vertical="center" wrapText="1"/>
    </xf>
    <xf numFmtId="0" fontId="34" fillId="34" borderId="68" xfId="0" applyFont="1" applyFill="1" applyBorder="1" applyAlignment="1">
      <alignment horizontal="center" vertical="center" wrapText="1"/>
    </xf>
    <xf numFmtId="0" fontId="34" fillId="34" borderId="61" xfId="0" applyFont="1" applyFill="1" applyBorder="1" applyAlignment="1">
      <alignment horizontal="left" vertical="center" wrapText="1"/>
    </xf>
    <xf numFmtId="0" fontId="23" fillId="26" borderId="69" xfId="0" applyFont="1" applyFill="1" applyBorder="1" applyAlignment="1">
      <alignment horizontal="center" vertical="center"/>
    </xf>
    <xf numFmtId="0" fontId="34" fillId="34" borderId="61" xfId="0" applyFont="1" applyFill="1" applyBorder="1" applyAlignment="1">
      <alignment horizontal="center" vertical="center" wrapText="1"/>
    </xf>
    <xf numFmtId="14" fontId="34" fillId="34" borderId="61" xfId="0" applyNumberFormat="1" applyFont="1" applyFill="1" applyBorder="1" applyAlignment="1">
      <alignment horizontal="center" vertical="center" wrapText="1"/>
    </xf>
    <xf numFmtId="14" fontId="23" fillId="26" borderId="69" xfId="0" applyNumberFormat="1" applyFont="1" applyFill="1" applyBorder="1" applyAlignment="1">
      <alignment horizontal="center" vertical="center"/>
    </xf>
    <xf numFmtId="1" fontId="34" fillId="34" borderId="61" xfId="0" applyNumberFormat="1" applyFont="1" applyFill="1" applyBorder="1" applyAlignment="1">
      <alignment horizontal="center" vertical="center" wrapText="1"/>
    </xf>
    <xf numFmtId="0" fontId="33" fillId="37" borderId="62" xfId="0" applyFont="1" applyFill="1" applyBorder="1" applyAlignment="1">
      <alignment horizontal="center" vertical="center" wrapText="1"/>
    </xf>
    <xf numFmtId="0" fontId="29" fillId="0" borderId="15" xfId="0" applyFont="1" applyBorder="1" applyAlignment="1">
      <alignment horizontal="center"/>
    </xf>
    <xf numFmtId="0" fontId="23" fillId="0" borderId="70" xfId="0" applyFont="1" applyBorder="1"/>
    <xf numFmtId="0" fontId="23" fillId="0" borderId="71" xfId="0" applyFont="1" applyBorder="1"/>
    <xf numFmtId="0" fontId="23" fillId="0" borderId="72" xfId="0" applyFont="1" applyBorder="1"/>
    <xf numFmtId="0" fontId="23" fillId="0" borderId="73" xfId="0" applyFont="1" applyBorder="1"/>
    <xf numFmtId="0" fontId="23" fillId="0" borderId="74" xfId="0" applyFont="1" applyBorder="1"/>
    <xf numFmtId="0" fontId="24" fillId="0" borderId="0" xfId="0" applyFont="1"/>
    <xf numFmtId="0" fontId="23" fillId="0" borderId="108" xfId="0" applyFont="1" applyBorder="1"/>
    <xf numFmtId="0" fontId="23" fillId="0" borderId="15" xfId="0" applyFont="1" applyBorder="1"/>
    <xf numFmtId="0" fontId="23" fillId="0" borderId="15" xfId="0" applyFont="1" applyBorder="1" applyAlignment="1">
      <alignment horizontal="center"/>
    </xf>
    <xf numFmtId="0" fontId="23" fillId="0" borderId="16" xfId="0" applyFont="1" applyBorder="1"/>
    <xf numFmtId="0" fontId="23" fillId="0" borderId="73" xfId="0" applyFont="1" applyBorder="1" applyAlignment="1">
      <alignment horizontal="center" vertical="center" wrapText="1"/>
    </xf>
    <xf numFmtId="0" fontId="23" fillId="0" borderId="0" xfId="0" applyFont="1" applyAlignment="1">
      <alignment horizontal="center" vertical="center" wrapText="1"/>
    </xf>
    <xf numFmtId="0" fontId="23" fillId="0" borderId="74" xfId="0" applyFont="1" applyBorder="1" applyAlignment="1">
      <alignment horizontal="center" vertical="center" wrapText="1"/>
    </xf>
    <xf numFmtId="0" fontId="29" fillId="0" borderId="0" xfId="0" applyFont="1" applyAlignment="1">
      <alignment horizontal="right"/>
    </xf>
    <xf numFmtId="43" fontId="14" fillId="24" borderId="1" xfId="54" applyFont="1" applyFill="1" applyBorder="1" applyAlignment="1">
      <alignment horizontal="center" vertical="center"/>
    </xf>
    <xf numFmtId="0" fontId="0" fillId="0" borderId="1" xfId="0" applyBorder="1" applyAlignment="1">
      <alignment horizontal="center" vertical="center" wrapText="1"/>
    </xf>
    <xf numFmtId="0" fontId="37" fillId="0" borderId="66" xfId="0" applyFont="1" applyBorder="1" applyAlignment="1">
      <alignment horizontal="center" vertical="center"/>
    </xf>
    <xf numFmtId="0" fontId="37" fillId="0" borderId="75" xfId="0" applyFont="1" applyBorder="1" applyAlignment="1">
      <alignment horizontal="center" vertical="center"/>
    </xf>
    <xf numFmtId="0" fontId="37" fillId="0" borderId="76" xfId="0" applyFont="1" applyBorder="1" applyAlignment="1">
      <alignment horizontal="center" vertical="center"/>
    </xf>
    <xf numFmtId="0" fontId="37" fillId="0" borderId="80" xfId="0" applyFont="1" applyBorder="1" applyAlignment="1">
      <alignment horizontal="center" vertical="center"/>
    </xf>
    <xf numFmtId="0" fontId="37" fillId="0" borderId="0" xfId="0" applyFont="1" applyAlignment="1">
      <alignment horizontal="center" vertical="center"/>
    </xf>
    <xf numFmtId="0" fontId="37" fillId="0" borderId="81" xfId="0" applyFont="1" applyBorder="1" applyAlignment="1">
      <alignment horizontal="center" vertical="center"/>
    </xf>
    <xf numFmtId="0" fontId="37" fillId="0" borderId="84" xfId="0" applyFont="1" applyBorder="1" applyAlignment="1">
      <alignment horizontal="center" vertical="center"/>
    </xf>
    <xf numFmtId="0" fontId="37" fillId="0" borderId="85" xfId="0" applyFont="1" applyBorder="1" applyAlignment="1">
      <alignment horizontal="center" vertical="center"/>
    </xf>
    <xf numFmtId="0" fontId="37" fillId="0" borderId="86" xfId="0" applyFont="1" applyBorder="1" applyAlignment="1">
      <alignment horizontal="center" vertical="center"/>
    </xf>
    <xf numFmtId="169" fontId="37" fillId="0" borderId="77" xfId="0" applyNumberFormat="1" applyFont="1" applyBorder="1" applyAlignment="1">
      <alignment horizontal="center" vertical="center"/>
    </xf>
    <xf numFmtId="169" fontId="37" fillId="0" borderId="78" xfId="0" applyNumberFormat="1" applyFont="1" applyBorder="1" applyAlignment="1">
      <alignment horizontal="center" vertical="center"/>
    </xf>
    <xf numFmtId="169" fontId="37" fillId="0" borderId="79" xfId="0" applyNumberFormat="1" applyFont="1" applyBorder="1" applyAlignment="1">
      <alignment horizontal="center" vertical="center"/>
    </xf>
    <xf numFmtId="169" fontId="37" fillId="0" borderId="82" xfId="0" applyNumberFormat="1" applyFont="1" applyBorder="1" applyAlignment="1">
      <alignment horizontal="center" vertical="center"/>
    </xf>
    <xf numFmtId="169" fontId="37" fillId="0" borderId="11" xfId="0" applyNumberFormat="1" applyFont="1" applyBorder="1" applyAlignment="1">
      <alignment horizontal="center" vertical="center"/>
    </xf>
    <xf numFmtId="169" fontId="37" fillId="0" borderId="83" xfId="0" applyNumberFormat="1" applyFont="1" applyBorder="1" applyAlignment="1">
      <alignment horizontal="center" vertical="center"/>
    </xf>
    <xf numFmtId="169" fontId="37" fillId="0" borderId="87" xfId="0" applyNumberFormat="1" applyFont="1" applyBorder="1" applyAlignment="1">
      <alignment horizontal="center" vertical="center"/>
    </xf>
    <xf numFmtId="169" fontId="37" fillId="0" borderId="88" xfId="0" applyNumberFormat="1" applyFont="1" applyBorder="1" applyAlignment="1">
      <alignment horizontal="center" vertical="center"/>
    </xf>
    <xf numFmtId="169" fontId="37" fillId="0" borderId="89" xfId="0" applyNumberFormat="1" applyFont="1" applyBorder="1" applyAlignment="1">
      <alignment horizontal="center" vertical="center"/>
    </xf>
    <xf numFmtId="169" fontId="37" fillId="0" borderId="66" xfId="51" applyNumberFormat="1" applyFont="1" applyFill="1" applyBorder="1" applyAlignment="1">
      <alignment horizontal="center" vertical="center"/>
    </xf>
    <xf numFmtId="169" fontId="37" fillId="0" borderId="75" xfId="51" applyNumberFormat="1" applyFont="1" applyFill="1" applyBorder="1" applyAlignment="1">
      <alignment horizontal="center" vertical="center"/>
    </xf>
    <xf numFmtId="169" fontId="37" fillId="0" borderId="76" xfId="51" applyNumberFormat="1" applyFont="1" applyFill="1" applyBorder="1" applyAlignment="1">
      <alignment horizontal="center" vertical="center"/>
    </xf>
    <xf numFmtId="169" fontId="37" fillId="0" borderId="80" xfId="51" applyNumberFormat="1" applyFont="1" applyFill="1" applyBorder="1" applyAlignment="1">
      <alignment horizontal="center" vertical="center"/>
    </xf>
    <xf numFmtId="169" fontId="37" fillId="0" borderId="0" xfId="51" applyNumberFormat="1" applyFont="1" applyFill="1" applyBorder="1" applyAlignment="1">
      <alignment horizontal="center" vertical="center"/>
    </xf>
    <xf numFmtId="169" fontId="37" fillId="0" borderId="81" xfId="51" applyNumberFormat="1" applyFont="1" applyFill="1" applyBorder="1" applyAlignment="1">
      <alignment horizontal="center" vertical="center"/>
    </xf>
    <xf numFmtId="169" fontId="37" fillId="0" borderId="84" xfId="51" applyNumberFormat="1" applyFont="1" applyFill="1" applyBorder="1" applyAlignment="1">
      <alignment horizontal="center" vertical="center"/>
    </xf>
    <xf numFmtId="169" fontId="37" fillId="0" borderId="85" xfId="51" applyNumberFormat="1" applyFont="1" applyFill="1" applyBorder="1" applyAlignment="1">
      <alignment horizontal="center" vertical="center"/>
    </xf>
    <xf numFmtId="169" fontId="37" fillId="0" borderId="86" xfId="51" applyNumberFormat="1" applyFont="1" applyFill="1" applyBorder="1" applyAlignment="1">
      <alignment horizontal="center" vertical="center"/>
    </xf>
    <xf numFmtId="0" fontId="28" fillId="26" borderId="12" xfId="0" applyFont="1" applyFill="1" applyBorder="1" applyAlignment="1">
      <alignment horizontal="center" vertical="center"/>
    </xf>
    <xf numFmtId="0" fontId="28" fillId="26" borderId="13" xfId="0" applyFont="1" applyFill="1" applyBorder="1" applyAlignment="1">
      <alignment horizontal="center" vertical="center"/>
    </xf>
    <xf numFmtId="0" fontId="28" fillId="26" borderId="14" xfId="0" applyFont="1" applyFill="1" applyBorder="1" applyAlignment="1">
      <alignment horizontal="center" vertical="center"/>
    </xf>
    <xf numFmtId="0" fontId="36" fillId="38" borderId="64" xfId="0" applyFont="1" applyFill="1" applyBorder="1" applyAlignment="1" applyProtection="1">
      <alignment horizontal="center" vertical="center" wrapText="1"/>
      <protection locked="0"/>
    </xf>
    <xf numFmtId="0" fontId="36" fillId="38" borderId="65" xfId="0" applyFont="1" applyFill="1" applyBorder="1" applyAlignment="1" applyProtection="1">
      <alignment horizontal="center" vertical="center" wrapText="1"/>
      <protection locked="0"/>
    </xf>
    <xf numFmtId="0" fontId="37" fillId="0" borderId="102" xfId="0" applyFont="1" applyBorder="1" applyAlignment="1">
      <alignment horizontal="center" vertical="center"/>
    </xf>
    <xf numFmtId="0" fontId="37" fillId="0" borderId="103" xfId="0" applyFont="1" applyBorder="1" applyAlignment="1">
      <alignment horizontal="center" vertical="center"/>
    </xf>
    <xf numFmtId="0" fontId="37" fillId="0" borderId="104" xfId="0" applyFont="1" applyBorder="1" applyAlignment="1">
      <alignment horizontal="center" vertical="center"/>
    </xf>
    <xf numFmtId="0" fontId="37" fillId="0" borderId="105" xfId="0" applyFont="1" applyBorder="1" applyAlignment="1">
      <alignment horizontal="center" vertical="center"/>
    </xf>
    <xf numFmtId="0" fontId="37" fillId="0" borderId="106" xfId="0" applyFont="1" applyBorder="1" applyAlignment="1">
      <alignment horizontal="center" vertical="center"/>
    </xf>
    <xf numFmtId="0" fontId="37" fillId="0" borderId="100" xfId="0" applyFont="1" applyBorder="1" applyAlignment="1">
      <alignment horizontal="center" vertical="center"/>
    </xf>
    <xf numFmtId="0" fontId="37" fillId="0" borderId="101" xfId="0" applyFont="1" applyBorder="1" applyAlignment="1">
      <alignment horizontal="center" vertical="center"/>
    </xf>
    <xf numFmtId="0" fontId="37" fillId="0" borderId="107" xfId="0" applyFont="1" applyBorder="1" applyAlignment="1">
      <alignment horizontal="center" vertical="center"/>
    </xf>
    <xf numFmtId="0" fontId="36" fillId="39" borderId="90" xfId="0" applyFont="1" applyFill="1" applyBorder="1" applyAlignment="1" applyProtection="1">
      <alignment horizontal="center" vertical="center"/>
      <protection locked="0"/>
    </xf>
    <xf numFmtId="0" fontId="36" fillId="39" borderId="91" xfId="0" applyFont="1" applyFill="1" applyBorder="1" applyAlignment="1" applyProtection="1">
      <alignment horizontal="center" vertical="center"/>
      <protection locked="0"/>
    </xf>
    <xf numFmtId="0" fontId="37" fillId="0" borderId="92" xfId="0" applyFont="1" applyBorder="1" applyAlignment="1">
      <alignment horizontal="center" vertical="center"/>
    </xf>
    <xf numFmtId="0" fontId="37" fillId="0" borderId="93" xfId="0" applyFont="1" applyBorder="1" applyAlignment="1">
      <alignment horizontal="center" vertical="center"/>
    </xf>
    <xf numFmtId="0" fontId="37" fillId="0" borderId="94" xfId="0" applyFont="1" applyBorder="1" applyAlignment="1">
      <alignment horizontal="center" vertical="center"/>
    </xf>
    <xf numFmtId="0" fontId="37" fillId="0" borderId="95" xfId="0" applyFont="1" applyBorder="1" applyAlignment="1">
      <alignment horizontal="center" vertical="center"/>
    </xf>
    <xf numFmtId="0" fontId="37" fillId="0" borderId="96" xfId="0" applyFont="1" applyBorder="1" applyAlignment="1">
      <alignment horizontal="center" vertical="center"/>
    </xf>
    <xf numFmtId="0" fontId="37" fillId="0" borderId="97" xfId="0" applyFont="1" applyBorder="1" applyAlignment="1">
      <alignment horizontal="center" vertical="center"/>
    </xf>
    <xf numFmtId="0" fontId="37" fillId="0" borderId="98" xfId="0" applyFont="1" applyBorder="1" applyAlignment="1">
      <alignment horizontal="center" vertical="center"/>
    </xf>
    <xf numFmtId="0" fontId="37" fillId="0" borderId="99" xfId="0" applyFont="1" applyBorder="1" applyAlignment="1">
      <alignment horizontal="center" vertical="center"/>
    </xf>
    <xf numFmtId="0" fontId="36" fillId="39" borderId="0" xfId="0" applyFont="1" applyFill="1" applyAlignment="1" applyProtection="1">
      <alignment horizontal="center" vertical="center"/>
      <protection locked="0"/>
    </xf>
    <xf numFmtId="0" fontId="23" fillId="0" borderId="0" xfId="0" applyFont="1" applyAlignment="1">
      <alignment horizontal="center"/>
    </xf>
    <xf numFmtId="0" fontId="36" fillId="40" borderId="100" xfId="0" applyFont="1" applyFill="1" applyBorder="1" applyAlignment="1" applyProtection="1">
      <alignment horizontal="center" vertical="center"/>
      <protection locked="0"/>
    </xf>
    <xf numFmtId="0" fontId="36" fillId="40" borderId="101" xfId="0" applyFont="1" applyFill="1" applyBorder="1" applyAlignment="1" applyProtection="1">
      <alignment horizontal="center" vertical="center"/>
      <protection locked="0"/>
    </xf>
    <xf numFmtId="0" fontId="28" fillId="33" borderId="1" xfId="40" applyFont="1" applyFill="1" applyBorder="1" applyAlignment="1">
      <alignment horizontal="center" vertical="center"/>
    </xf>
    <xf numFmtId="0" fontId="28" fillId="26" borderId="1" xfId="40" applyFont="1" applyFill="1" applyBorder="1" applyAlignment="1">
      <alignment horizontal="center"/>
    </xf>
    <xf numFmtId="0" fontId="14" fillId="24" borderId="23" xfId="52" applyFill="1" applyBorder="1" applyAlignment="1">
      <alignment horizontal="left" vertical="center"/>
    </xf>
    <xf numFmtId="0" fontId="28" fillId="33" borderId="60" xfId="40" applyFont="1" applyFill="1" applyBorder="1" applyAlignment="1">
      <alignment horizontal="center" vertical="center" wrapText="1"/>
    </xf>
    <xf numFmtId="0" fontId="28" fillId="33" borderId="61" xfId="40" applyFont="1" applyFill="1" applyBorder="1" applyAlignment="1">
      <alignment horizontal="center" vertical="center" wrapText="1"/>
    </xf>
    <xf numFmtId="0" fontId="28" fillId="33" borderId="1" xfId="40" applyFont="1" applyFill="1" applyBorder="1" applyAlignment="1">
      <alignment horizontal="center" vertical="center" wrapText="1"/>
    </xf>
    <xf numFmtId="0" fontId="33" fillId="37" borderId="63" xfId="0" applyFont="1" applyFill="1" applyBorder="1" applyAlignment="1">
      <alignment horizontal="center" vertical="center" wrapText="1"/>
    </xf>
    <xf numFmtId="0" fontId="33" fillId="37" borderId="109" xfId="0" applyFont="1" applyFill="1" applyBorder="1" applyAlignment="1">
      <alignment horizontal="center" vertical="center" wrapText="1"/>
    </xf>
    <xf numFmtId="0" fontId="33" fillId="37" borderId="110" xfId="0" applyFont="1" applyFill="1" applyBorder="1" applyAlignment="1">
      <alignment horizontal="center" vertical="center" wrapText="1"/>
    </xf>
    <xf numFmtId="9" fontId="28" fillId="28" borderId="11" xfId="0" applyNumberFormat="1" applyFont="1" applyFill="1" applyBorder="1" applyAlignment="1">
      <alignment horizontal="center"/>
    </xf>
    <xf numFmtId="0" fontId="28" fillId="28" borderId="11" xfId="0" applyFont="1" applyFill="1" applyBorder="1" applyAlignment="1">
      <alignment horizontal="center"/>
    </xf>
    <xf numFmtId="0" fontId="28" fillId="26" borderId="58" xfId="0" applyFont="1" applyFill="1" applyBorder="1" applyAlignment="1">
      <alignment horizontal="center"/>
    </xf>
    <xf numFmtId="0" fontId="24" fillId="0" borderId="11" xfId="0" applyFont="1" applyBorder="1" applyAlignment="1">
      <alignment horizontal="center"/>
    </xf>
    <xf numFmtId="0" fontId="22" fillId="0" borderId="18" xfId="0" applyFont="1" applyBorder="1" applyAlignment="1">
      <alignment horizontal="right" vertical="top" indent="1"/>
    </xf>
    <xf numFmtId="0" fontId="21" fillId="0" borderId="18" xfId="0" applyFont="1" applyBorder="1" applyAlignment="1">
      <alignment horizontal="left" vertical="top" indent="1"/>
    </xf>
    <xf numFmtId="0" fontId="23" fillId="0" borderId="40" xfId="0" applyFont="1" applyBorder="1" applyAlignment="1">
      <alignment horizontal="left" vertical="center" indent="1"/>
    </xf>
    <xf numFmtId="0" fontId="23" fillId="0" borderId="38" xfId="0" applyFont="1" applyBorder="1" applyAlignment="1">
      <alignment horizontal="left" vertical="center" indent="1"/>
    </xf>
    <xf numFmtId="0" fontId="23" fillId="0" borderId="37" xfId="0" applyFont="1" applyBorder="1" applyAlignment="1">
      <alignment horizontal="left" vertical="center" indent="1"/>
    </xf>
    <xf numFmtId="0" fontId="23" fillId="25" borderId="39" xfId="0" applyFont="1" applyFill="1" applyBorder="1" applyAlignment="1">
      <alignment horizontal="left" vertical="center" wrapText="1" indent="1"/>
    </xf>
    <xf numFmtId="0" fontId="23" fillId="25" borderId="38" xfId="0" applyFont="1" applyFill="1" applyBorder="1" applyAlignment="1">
      <alignment horizontal="left" vertical="center" wrapText="1" indent="1"/>
    </xf>
    <xf numFmtId="0" fontId="23" fillId="25" borderId="41" xfId="0" applyFont="1" applyFill="1" applyBorder="1" applyAlignment="1">
      <alignment horizontal="left" vertical="center" wrapText="1" indent="1"/>
    </xf>
    <xf numFmtId="167" fontId="23" fillId="25" borderId="39" xfId="0" applyNumberFormat="1" applyFont="1" applyFill="1" applyBorder="1" applyAlignment="1">
      <alignment horizontal="left" vertical="center" wrapText="1" indent="1"/>
    </xf>
    <xf numFmtId="167" fontId="23" fillId="25" borderId="38" xfId="0" applyNumberFormat="1" applyFont="1" applyFill="1" applyBorder="1" applyAlignment="1">
      <alignment horizontal="left" vertical="center" wrapText="1" indent="1"/>
    </xf>
    <xf numFmtId="167" fontId="23" fillId="25" borderId="41" xfId="0" applyNumberFormat="1" applyFont="1" applyFill="1" applyBorder="1" applyAlignment="1">
      <alignment horizontal="left" vertical="center" wrapText="1" indent="1"/>
    </xf>
    <xf numFmtId="0" fontId="23" fillId="0" borderId="22" xfId="0" applyFont="1" applyBorder="1" applyAlignment="1">
      <alignment horizontal="left" vertical="center" wrapText="1" indent="1"/>
    </xf>
    <xf numFmtId="0" fontId="23" fillId="0" borderId="21" xfId="0" applyFont="1" applyBorder="1" applyAlignment="1">
      <alignment horizontal="left" vertical="center" wrapText="1" indent="1"/>
    </xf>
    <xf numFmtId="0" fontId="23" fillId="31" borderId="27" xfId="0" applyFont="1" applyFill="1" applyBorder="1" applyAlignment="1">
      <alignment horizontal="left" vertical="center" indent="1"/>
    </xf>
    <xf numFmtId="0" fontId="23" fillId="31" borderId="26" xfId="0" applyFont="1" applyFill="1" applyBorder="1" applyAlignment="1">
      <alignment horizontal="left" vertical="center" indent="1"/>
    </xf>
    <xf numFmtId="0" fontId="23" fillId="31" borderId="25" xfId="0" applyFont="1" applyFill="1" applyBorder="1" applyAlignment="1">
      <alignment horizontal="left" vertical="center" indent="1"/>
    </xf>
    <xf numFmtId="0" fontId="23" fillId="26" borderId="22" xfId="0" applyFont="1" applyFill="1" applyBorder="1" applyAlignment="1">
      <alignment horizontal="left" vertical="center" indent="1"/>
    </xf>
    <xf numFmtId="0" fontId="23" fillId="26" borderId="21" xfId="0" applyFont="1" applyFill="1" applyBorder="1" applyAlignment="1">
      <alignment horizontal="left" vertical="center" indent="1"/>
    </xf>
    <xf numFmtId="0" fontId="23" fillId="26" borderId="20" xfId="0" applyFont="1" applyFill="1" applyBorder="1" applyAlignment="1">
      <alignment horizontal="left" vertical="center" indent="1"/>
    </xf>
    <xf numFmtId="0" fontId="25" fillId="25" borderId="30" xfId="0" applyFont="1" applyFill="1" applyBorder="1" applyAlignment="1">
      <alignment horizontal="right" vertical="center" indent="1"/>
    </xf>
    <xf numFmtId="0" fontId="25" fillId="25" borderId="29" xfId="0" applyFont="1" applyFill="1" applyBorder="1" applyAlignment="1">
      <alignment horizontal="right" vertical="center" indent="1"/>
    </xf>
    <xf numFmtId="0" fontId="25" fillId="25" borderId="28" xfId="0" applyFont="1" applyFill="1" applyBorder="1" applyAlignment="1">
      <alignment horizontal="right" vertical="center" indent="1"/>
    </xf>
    <xf numFmtId="0" fontId="23" fillId="26" borderId="30" xfId="0" quotePrefix="1" applyFont="1" applyFill="1" applyBorder="1" applyAlignment="1">
      <alignment horizontal="center" vertical="center"/>
    </xf>
    <xf numFmtId="0" fontId="23" fillId="26" borderId="28" xfId="0" applyFont="1" applyFill="1" applyBorder="1" applyAlignment="1">
      <alignment horizontal="center" vertical="center"/>
    </xf>
    <xf numFmtId="0" fontId="23" fillId="0" borderId="27" xfId="0" applyFont="1" applyBorder="1" applyAlignment="1" applyProtection="1">
      <alignment horizontal="left" vertical="center" indent="1"/>
      <protection locked="0"/>
    </xf>
    <xf numFmtId="0" fontId="23" fillId="0" borderId="26" xfId="0" applyFont="1" applyBorder="1" applyAlignment="1" applyProtection="1">
      <alignment horizontal="left" vertical="center" indent="1"/>
      <protection locked="0"/>
    </xf>
    <xf numFmtId="0" fontId="23" fillId="0" borderId="25" xfId="0" applyFont="1" applyBorder="1" applyAlignment="1" applyProtection="1">
      <alignment horizontal="left" vertical="center" indent="1"/>
      <protection locked="0"/>
    </xf>
    <xf numFmtId="0" fontId="23" fillId="0" borderId="27" xfId="0" applyFont="1" applyBorder="1" applyAlignment="1" applyProtection="1">
      <alignment horizontal="right" indent="5"/>
      <protection locked="0"/>
    </xf>
    <xf numFmtId="0" fontId="23" fillId="0" borderId="26" xfId="0" applyFont="1" applyBorder="1" applyAlignment="1" applyProtection="1">
      <alignment horizontal="right" indent="5"/>
      <protection locked="0"/>
    </xf>
    <xf numFmtId="0" fontId="23" fillId="0" borderId="25" xfId="0" applyFont="1" applyBorder="1" applyAlignment="1" applyProtection="1">
      <alignment horizontal="right" indent="5"/>
      <protection locked="0"/>
    </xf>
    <xf numFmtId="0" fontId="23" fillId="0" borderId="27" xfId="0" applyFont="1" applyBorder="1" applyAlignment="1" applyProtection="1">
      <alignment horizontal="center"/>
      <protection locked="0"/>
    </xf>
    <xf numFmtId="0" fontId="23" fillId="0" borderId="26" xfId="0" applyFont="1" applyBorder="1" applyAlignment="1" applyProtection="1">
      <alignment horizontal="center"/>
      <protection locked="0"/>
    </xf>
    <xf numFmtId="0" fontId="23" fillId="0" borderId="25" xfId="0" applyFont="1" applyBorder="1" applyAlignment="1" applyProtection="1">
      <alignment horizontal="center"/>
      <protection locked="0"/>
    </xf>
    <xf numFmtId="0" fontId="27" fillId="0" borderId="52" xfId="0" applyFont="1" applyBorder="1" applyAlignment="1">
      <alignment horizontal="center" vertical="center"/>
    </xf>
    <xf numFmtId="0" fontId="27" fillId="0" borderId="56" xfId="0" applyFont="1" applyBorder="1" applyAlignment="1">
      <alignment horizontal="center" vertical="center"/>
    </xf>
    <xf numFmtId="0" fontId="27" fillId="0" borderId="0" xfId="0" applyFont="1" applyAlignment="1">
      <alignment horizontal="center" vertical="center"/>
    </xf>
    <xf numFmtId="0" fontId="27" fillId="0" borderId="54" xfId="0" applyFont="1" applyBorder="1" applyAlignment="1">
      <alignment horizontal="center" vertical="center"/>
    </xf>
    <xf numFmtId="0" fontId="27" fillId="0" borderId="23" xfId="0" applyFont="1" applyBorder="1" applyAlignment="1">
      <alignment horizontal="center" vertical="center"/>
    </xf>
    <xf numFmtId="0" fontId="27" fillId="0" borderId="53" xfId="0" applyFont="1" applyBorder="1" applyAlignment="1">
      <alignment horizontal="center" vertical="center"/>
    </xf>
    <xf numFmtId="0" fontId="25" fillId="26" borderId="35" xfId="0" applyFont="1" applyFill="1" applyBorder="1" applyAlignment="1">
      <alignment horizontal="center" vertical="center" wrapText="1"/>
    </xf>
    <xf numFmtId="0" fontId="25" fillId="26" borderId="34" xfId="0" applyFont="1" applyFill="1" applyBorder="1" applyAlignment="1">
      <alignment horizontal="center" vertical="center" wrapText="1"/>
    </xf>
    <xf numFmtId="0" fontId="25" fillId="26" borderId="51" xfId="0" applyFont="1" applyFill="1" applyBorder="1" applyAlignment="1">
      <alignment horizontal="center" vertical="center" wrapText="1"/>
    </xf>
    <xf numFmtId="0" fontId="25" fillId="26" borderId="30" xfId="0" applyFont="1" applyFill="1" applyBorder="1" applyAlignment="1">
      <alignment horizontal="center" vertical="center" wrapText="1"/>
    </xf>
    <xf numFmtId="0" fontId="25" fillId="26" borderId="29" xfId="0" applyFont="1" applyFill="1" applyBorder="1" applyAlignment="1">
      <alignment horizontal="center" vertical="center" wrapText="1"/>
    </xf>
    <xf numFmtId="0" fontId="25" fillId="26" borderId="49" xfId="0" applyFont="1" applyFill="1" applyBorder="1" applyAlignment="1">
      <alignment horizontal="center" vertical="center" wrapText="1"/>
    </xf>
    <xf numFmtId="0" fontId="25" fillId="26" borderId="50" xfId="0" applyFont="1" applyFill="1" applyBorder="1" applyAlignment="1">
      <alignment horizontal="center" vertical="center" wrapText="1"/>
    </xf>
    <xf numFmtId="0" fontId="25" fillId="26" borderId="48" xfId="0" applyFont="1" applyFill="1" applyBorder="1" applyAlignment="1">
      <alignment horizontal="center" vertical="center" wrapText="1"/>
    </xf>
    <xf numFmtId="0" fontId="25" fillId="26" borderId="50" xfId="0" applyFont="1" applyFill="1" applyBorder="1" applyAlignment="1">
      <alignment horizontal="center" vertical="center"/>
    </xf>
    <xf numFmtId="0" fontId="25" fillId="26" borderId="34" xfId="0" applyFont="1" applyFill="1" applyBorder="1" applyAlignment="1">
      <alignment horizontal="center" vertical="center"/>
    </xf>
    <xf numFmtId="0" fontId="25" fillId="26" borderId="51" xfId="0" applyFont="1" applyFill="1" applyBorder="1" applyAlignment="1">
      <alignment horizontal="center" vertical="center"/>
    </xf>
    <xf numFmtId="0" fontId="25" fillId="26" borderId="48" xfId="0" applyFont="1" applyFill="1" applyBorder="1" applyAlignment="1">
      <alignment horizontal="center" vertical="center"/>
    </xf>
    <xf numFmtId="0" fontId="25" fillId="26" borderId="29" xfId="0" applyFont="1" applyFill="1" applyBorder="1" applyAlignment="1">
      <alignment horizontal="center" vertical="center"/>
    </xf>
    <xf numFmtId="0" fontId="25" fillId="26" borderId="49" xfId="0" applyFont="1" applyFill="1" applyBorder="1" applyAlignment="1">
      <alignment horizontal="center" vertical="center"/>
    </xf>
    <xf numFmtId="0" fontId="25" fillId="26" borderId="33" xfId="0" applyFont="1" applyFill="1" applyBorder="1" applyAlignment="1">
      <alignment horizontal="center" vertical="center"/>
    </xf>
    <xf numFmtId="0" fontId="25" fillId="26" borderId="28" xfId="0" applyFont="1" applyFill="1" applyBorder="1" applyAlignment="1">
      <alignment horizontal="center" vertical="center"/>
    </xf>
    <xf numFmtId="0" fontId="25" fillId="0" borderId="0" xfId="0" applyFont="1" applyAlignment="1">
      <alignment horizontal="justify" vertical="top" wrapText="1"/>
    </xf>
    <xf numFmtId="0" fontId="25" fillId="0" borderId="34" xfId="0" applyFont="1" applyBorder="1" applyAlignment="1">
      <alignment horizontal="left" vertical="top"/>
    </xf>
    <xf numFmtId="0" fontId="23" fillId="0" borderId="0" xfId="0" applyFont="1" applyAlignment="1">
      <alignment horizontal="justify" vertical="center"/>
    </xf>
    <xf numFmtId="0" fontId="21" fillId="0" borderId="19" xfId="0" applyFont="1" applyBorder="1" applyAlignment="1">
      <alignment horizontal="center"/>
    </xf>
    <xf numFmtId="0" fontId="23" fillId="30" borderId="39" xfId="0" applyFont="1" applyFill="1" applyBorder="1" applyAlignment="1" applyProtection="1">
      <alignment horizontal="left" vertical="center" wrapText="1" indent="1"/>
      <protection locked="0"/>
    </xf>
    <xf numFmtId="0" fontId="23" fillId="30" borderId="38" xfId="0" applyFont="1" applyFill="1" applyBorder="1" applyAlignment="1" applyProtection="1">
      <alignment horizontal="left" vertical="center" wrapText="1" indent="1"/>
      <protection locked="0"/>
    </xf>
    <xf numFmtId="0" fontId="23" fillId="30" borderId="41" xfId="0" applyFont="1" applyFill="1" applyBorder="1" applyAlignment="1" applyProtection="1">
      <alignment horizontal="left" vertical="center" wrapText="1" indent="1"/>
      <protection locked="0"/>
    </xf>
    <xf numFmtId="0" fontId="23" fillId="30" borderId="35" xfId="0" applyFont="1" applyFill="1" applyBorder="1" applyAlignment="1" applyProtection="1">
      <alignment horizontal="left" vertical="center" wrapText="1" indent="1"/>
      <protection locked="0"/>
    </xf>
    <xf numFmtId="0" fontId="23" fillId="30" borderId="34" xfId="0" applyFont="1" applyFill="1" applyBorder="1" applyAlignment="1" applyProtection="1">
      <alignment horizontal="left" vertical="center" wrapText="1" indent="1"/>
      <protection locked="0"/>
    </xf>
    <xf numFmtId="0" fontId="23" fillId="30" borderId="33" xfId="0" applyFont="1" applyFill="1" applyBorder="1" applyAlignment="1" applyProtection="1">
      <alignment horizontal="left" vertical="center" wrapText="1" indent="1"/>
      <protection locked="0"/>
    </xf>
    <xf numFmtId="0" fontId="23" fillId="30" borderId="22" xfId="0" applyFont="1" applyFill="1" applyBorder="1" applyAlignment="1" applyProtection="1">
      <alignment horizontal="left" vertical="center" wrapText="1" indent="1"/>
      <protection locked="0"/>
    </xf>
    <xf numFmtId="0" fontId="23" fillId="30" borderId="21" xfId="0" applyFont="1" applyFill="1" applyBorder="1" applyAlignment="1" applyProtection="1">
      <alignment horizontal="left" vertical="center" wrapText="1" indent="1"/>
      <protection locked="0"/>
    </xf>
    <xf numFmtId="0" fontId="23" fillId="30" borderId="20" xfId="0" applyFont="1" applyFill="1" applyBorder="1" applyAlignment="1" applyProtection="1">
      <alignment horizontal="left" vertical="center" wrapText="1" indent="1"/>
      <protection locked="0"/>
    </xf>
    <xf numFmtId="0" fontId="23" fillId="26" borderId="35" xfId="0" applyFont="1" applyFill="1" applyBorder="1" applyAlignment="1">
      <alignment horizontal="left" vertical="center" indent="1"/>
    </xf>
    <xf numFmtId="0" fontId="23" fillId="26" borderId="34" xfId="0" applyFont="1" applyFill="1" applyBorder="1" applyAlignment="1">
      <alignment horizontal="left" vertical="center" indent="1"/>
    </xf>
    <xf numFmtId="0" fontId="23" fillId="26" borderId="33" xfId="0" applyFont="1" applyFill="1" applyBorder="1" applyAlignment="1">
      <alignment horizontal="left" vertical="center" indent="1"/>
    </xf>
    <xf numFmtId="0" fontId="23" fillId="26" borderId="36" xfId="0" applyFont="1" applyFill="1" applyBorder="1" applyAlignment="1">
      <alignment horizontal="left" vertical="center" indent="1"/>
    </xf>
    <xf numFmtId="0" fontId="23" fillId="30" borderId="34" xfId="0" applyFont="1" applyFill="1" applyBorder="1" applyAlignment="1" applyProtection="1">
      <alignment horizontal="justify" vertical="top" wrapText="1"/>
      <protection locked="0"/>
    </xf>
    <xf numFmtId="0" fontId="23" fillId="30" borderId="33" xfId="0" applyFont="1" applyFill="1" applyBorder="1" applyAlignment="1" applyProtection="1">
      <alignment horizontal="justify" vertical="top" wrapText="1"/>
      <protection locked="0"/>
    </xf>
    <xf numFmtId="0" fontId="23" fillId="30" borderId="0" xfId="0" applyFont="1" applyFill="1" applyAlignment="1" applyProtection="1">
      <alignment horizontal="justify" vertical="top" wrapText="1"/>
      <protection locked="0"/>
    </xf>
    <xf numFmtId="0" fontId="23" fillId="30" borderId="31" xfId="0" applyFont="1" applyFill="1" applyBorder="1" applyAlignment="1" applyProtection="1">
      <alignment horizontal="justify" vertical="top" wrapText="1"/>
      <protection locked="0"/>
    </xf>
    <xf numFmtId="0" fontId="23" fillId="30" borderId="29" xfId="0" applyFont="1" applyFill="1" applyBorder="1" applyAlignment="1" applyProtection="1">
      <alignment horizontal="justify" vertical="top" wrapText="1"/>
      <protection locked="0"/>
    </xf>
    <xf numFmtId="0" fontId="23" fillId="30" borderId="28" xfId="0" applyFont="1" applyFill="1" applyBorder="1" applyAlignment="1" applyProtection="1">
      <alignment horizontal="justify" vertical="top" wrapText="1"/>
      <protection locked="0"/>
    </xf>
    <xf numFmtId="0" fontId="23" fillId="0" borderId="0" xfId="0" applyFont="1" applyAlignment="1">
      <alignment horizontal="justify" vertical="top" wrapText="1"/>
    </xf>
    <xf numFmtId="0" fontId="23" fillId="0" borderId="0" xfId="0" applyFont="1" applyAlignment="1">
      <alignment horizontal="left" vertical="top" wrapText="1"/>
    </xf>
    <xf numFmtId="0" fontId="19" fillId="30" borderId="22" xfId="0" applyFont="1" applyFill="1" applyBorder="1" applyAlignment="1" applyProtection="1">
      <alignment horizontal="left" vertical="center" wrapText="1" indent="1"/>
      <protection locked="0"/>
    </xf>
    <xf numFmtId="0" fontId="19" fillId="30" borderId="21" xfId="0" applyFont="1" applyFill="1" applyBorder="1" applyAlignment="1" applyProtection="1">
      <alignment horizontal="left" vertical="center" wrapText="1" indent="1"/>
      <protection locked="0"/>
    </xf>
    <xf numFmtId="0" fontId="19" fillId="30" borderId="20" xfId="0" applyFont="1" applyFill="1" applyBorder="1" applyAlignment="1" applyProtection="1">
      <alignment horizontal="left" vertical="center" wrapText="1" indent="1"/>
      <protection locked="0"/>
    </xf>
    <xf numFmtId="0" fontId="23" fillId="30" borderId="22" xfId="0" applyFont="1" applyFill="1" applyBorder="1" applyAlignment="1" applyProtection="1">
      <alignment horizontal="center" vertical="center" wrapText="1"/>
      <protection locked="0"/>
    </xf>
    <xf numFmtId="0" fontId="23" fillId="30" borderId="21" xfId="0" applyFont="1" applyFill="1" applyBorder="1" applyAlignment="1" applyProtection="1">
      <alignment horizontal="center" vertical="center" wrapText="1"/>
      <protection locked="0"/>
    </xf>
    <xf numFmtId="0" fontId="23" fillId="30" borderId="20" xfId="0" applyFont="1" applyFill="1" applyBorder="1" applyAlignment="1" applyProtection="1">
      <alignment horizontal="center" vertical="center" wrapText="1"/>
      <protection locked="0"/>
    </xf>
    <xf numFmtId="0" fontId="23" fillId="26" borderId="22" xfId="0" applyFont="1" applyFill="1" applyBorder="1" applyAlignment="1">
      <alignment horizontal="center" vertical="center" wrapText="1"/>
    </xf>
    <xf numFmtId="0" fontId="23" fillId="26" borderId="21" xfId="0" applyFont="1" applyFill="1" applyBorder="1" applyAlignment="1">
      <alignment horizontal="center" vertical="center" wrapText="1"/>
    </xf>
    <xf numFmtId="0" fontId="23" fillId="26" borderId="20" xfId="0" applyFont="1" applyFill="1" applyBorder="1" applyAlignment="1">
      <alignment horizontal="center" vertical="center" wrapText="1"/>
    </xf>
    <xf numFmtId="0" fontId="19" fillId="30" borderId="35" xfId="0" applyFont="1" applyFill="1" applyBorder="1" applyAlignment="1" applyProtection="1">
      <alignment horizontal="left" vertical="center" wrapText="1" indent="1"/>
      <protection locked="0"/>
    </xf>
    <xf numFmtId="0" fontId="19" fillId="30" borderId="34" xfId="0" applyFont="1" applyFill="1" applyBorder="1" applyAlignment="1" applyProtection="1">
      <alignment horizontal="left" vertical="center" wrapText="1" indent="1"/>
      <protection locked="0"/>
    </xf>
    <xf numFmtId="0" fontId="19" fillId="30" borderId="33" xfId="0" applyFont="1" applyFill="1" applyBorder="1" applyAlignment="1" applyProtection="1">
      <alignment horizontal="left" vertical="center" wrapText="1" indent="1"/>
      <protection locked="0"/>
    </xf>
    <xf numFmtId="0" fontId="23" fillId="30" borderId="35" xfId="0" applyFont="1" applyFill="1" applyBorder="1" applyAlignment="1" applyProtection="1">
      <alignment horizontal="center" vertical="center" wrapText="1"/>
      <protection locked="0"/>
    </xf>
    <xf numFmtId="0" fontId="23" fillId="30" borderId="34" xfId="0" applyFont="1" applyFill="1" applyBorder="1" applyAlignment="1" applyProtection="1">
      <alignment horizontal="center" vertical="center" wrapText="1"/>
      <protection locked="0"/>
    </xf>
    <xf numFmtId="0" fontId="23" fillId="30" borderId="33" xfId="0" applyFont="1" applyFill="1" applyBorder="1" applyAlignment="1" applyProtection="1">
      <alignment horizontal="center" vertical="center" wrapText="1"/>
      <protection locked="0"/>
    </xf>
    <xf numFmtId="0" fontId="25" fillId="30" borderId="44" xfId="0" applyFont="1" applyFill="1" applyBorder="1" applyAlignment="1" applyProtection="1">
      <alignment horizontal="center" vertical="center"/>
      <protection locked="0"/>
    </xf>
    <xf numFmtId="0" fontId="25" fillId="30" borderId="46" xfId="0" applyFont="1" applyFill="1" applyBorder="1" applyAlignment="1" applyProtection="1">
      <alignment horizontal="center" vertical="center"/>
      <protection locked="0"/>
    </xf>
    <xf numFmtId="169" fontId="25" fillId="30" borderId="45" xfId="0" applyNumberFormat="1" applyFont="1" applyFill="1" applyBorder="1" applyAlignment="1" applyProtection="1">
      <alignment horizontal="right" vertical="center" indent="2"/>
      <protection locked="0"/>
    </xf>
    <xf numFmtId="169" fontId="25" fillId="30" borderId="44" xfId="0" applyNumberFormat="1" applyFont="1" applyFill="1" applyBorder="1" applyAlignment="1" applyProtection="1">
      <alignment horizontal="right" vertical="center" indent="2"/>
      <protection locked="0"/>
    </xf>
    <xf numFmtId="167" fontId="25" fillId="30" borderId="44" xfId="0" applyNumberFormat="1" applyFont="1" applyFill="1" applyBorder="1" applyAlignment="1" applyProtection="1">
      <alignment horizontal="center" vertical="center"/>
      <protection locked="0"/>
    </xf>
    <xf numFmtId="0" fontId="25" fillId="30" borderId="44" xfId="0" applyFont="1" applyFill="1" applyBorder="1" applyAlignment="1" applyProtection="1">
      <alignment horizontal="left" vertical="center" wrapText="1"/>
      <protection locked="0"/>
    </xf>
    <xf numFmtId="169" fontId="25" fillId="30" borderId="47" xfId="0" applyNumberFormat="1" applyFont="1" applyFill="1" applyBorder="1" applyAlignment="1" applyProtection="1">
      <alignment horizontal="right" vertical="center" indent="2"/>
      <protection locked="0"/>
    </xf>
    <xf numFmtId="169" fontId="25" fillId="30" borderId="43" xfId="0" applyNumberFormat="1" applyFont="1" applyFill="1" applyBorder="1" applyAlignment="1" applyProtection="1">
      <alignment horizontal="right" vertical="center" indent="2"/>
      <protection locked="0"/>
    </xf>
    <xf numFmtId="167" fontId="25" fillId="30" borderId="43" xfId="0" applyNumberFormat="1" applyFont="1" applyFill="1" applyBorder="1" applyAlignment="1" applyProtection="1">
      <alignment horizontal="center" vertical="center"/>
      <protection locked="0"/>
    </xf>
    <xf numFmtId="0" fontId="25" fillId="30" borderId="43" xfId="0" applyFont="1" applyFill="1" applyBorder="1" applyAlignment="1" applyProtection="1">
      <alignment horizontal="left" vertical="center" wrapText="1"/>
      <protection locked="0"/>
    </xf>
    <xf numFmtId="0" fontId="25" fillId="30" borderId="43" xfId="0" applyFont="1" applyFill="1" applyBorder="1" applyAlignment="1" applyProtection="1">
      <alignment horizontal="center" vertical="center"/>
      <protection locked="0"/>
    </xf>
    <xf numFmtId="0" fontId="25" fillId="30" borderId="42" xfId="0" applyFont="1" applyFill="1" applyBorder="1" applyAlignment="1" applyProtection="1">
      <alignment horizontal="center" vertical="center"/>
      <protection locked="0"/>
    </xf>
    <xf numFmtId="0" fontId="23" fillId="32" borderId="27" xfId="0" applyFont="1" applyFill="1" applyBorder="1" applyAlignment="1">
      <alignment horizontal="left" vertical="center" indent="1"/>
    </xf>
    <xf numFmtId="0" fontId="23" fillId="32" borderId="26" xfId="0" applyFont="1" applyFill="1" applyBorder="1" applyAlignment="1">
      <alignment horizontal="left" vertical="center" indent="1"/>
    </xf>
    <xf numFmtId="0" fontId="23" fillId="32" borderId="25" xfId="0" applyFont="1" applyFill="1" applyBorder="1" applyAlignment="1">
      <alignment horizontal="left" vertical="center" indent="1"/>
    </xf>
    <xf numFmtId="0" fontId="23" fillId="32" borderId="27" xfId="0" applyFont="1" applyFill="1" applyBorder="1" applyAlignment="1">
      <alignment horizontal="center" vertical="center"/>
    </xf>
    <xf numFmtId="0" fontId="23" fillId="32" borderId="26" xfId="0" applyFont="1" applyFill="1" applyBorder="1" applyAlignment="1">
      <alignment horizontal="center" vertical="center"/>
    </xf>
    <xf numFmtId="0" fontId="23" fillId="32" borderId="25" xfId="0" applyFont="1" applyFill="1" applyBorder="1" applyAlignment="1">
      <alignment horizontal="center" vertical="center"/>
    </xf>
    <xf numFmtId="0" fontId="23" fillId="0" borderId="27" xfId="0" applyFont="1" applyBorder="1" applyAlignment="1" applyProtection="1">
      <alignment horizontal="left"/>
      <protection locked="0"/>
    </xf>
    <xf numFmtId="0" fontId="23" fillId="0" borderId="25" xfId="0" applyFont="1" applyBorder="1" applyAlignment="1" applyProtection="1">
      <alignment horizontal="left"/>
      <protection locked="0"/>
    </xf>
    <xf numFmtId="0" fontId="23" fillId="0" borderId="27" xfId="0" applyFont="1" applyBorder="1" applyAlignment="1" applyProtection="1">
      <alignment horizontal="left" indent="1"/>
      <protection locked="0"/>
    </xf>
    <xf numFmtId="0" fontId="23" fillId="0" borderId="26" xfId="0" applyFont="1" applyBorder="1" applyAlignment="1" applyProtection="1">
      <alignment horizontal="left" indent="1"/>
      <protection locked="0"/>
    </xf>
    <xf numFmtId="0" fontId="23" fillId="0" borderId="25" xfId="0" applyFont="1" applyBorder="1" applyAlignment="1" applyProtection="1">
      <alignment horizontal="left" indent="1"/>
      <protection locked="0"/>
    </xf>
    <xf numFmtId="0" fontId="38" fillId="24" borderId="23" xfId="55" applyFill="1" applyBorder="1" applyAlignment="1">
      <alignment horizontal="left" vertical="center"/>
    </xf>
    <xf numFmtId="0" fontId="28" fillId="0" borderId="1" xfId="40" applyFont="1" applyBorder="1" applyAlignment="1">
      <alignment horizontal="center" wrapText="1"/>
    </xf>
    <xf numFmtId="0" fontId="32" fillId="0" borderId="1" xfId="0" applyFont="1" applyFill="1" applyBorder="1" applyAlignment="1">
      <alignment vertical="center" wrapText="1"/>
    </xf>
    <xf numFmtId="0" fontId="32" fillId="0" borderId="1" xfId="0" applyFont="1" applyFill="1" applyBorder="1" applyAlignment="1">
      <alignment horizontal="center"/>
    </xf>
    <xf numFmtId="0" fontId="28" fillId="0" borderId="1" xfId="40" applyFont="1" applyFill="1" applyBorder="1" applyAlignment="1">
      <alignment horizontal="center" vertical="center"/>
    </xf>
    <xf numFmtId="0" fontId="14" fillId="0" borderId="0" xfId="40" applyAlignment="1">
      <alignment horizontal="center"/>
    </xf>
    <xf numFmtId="0" fontId="0" fillId="0" borderId="0" xfId="0" applyAlignment="1">
      <alignment horizontal="center"/>
    </xf>
    <xf numFmtId="0" fontId="38" fillId="0" borderId="0" xfId="55"/>
    <xf numFmtId="0" fontId="34" fillId="34" borderId="67" xfId="0" applyFont="1" applyFill="1" applyBorder="1" applyAlignment="1">
      <alignment horizontal="left" vertical="center" wrapText="1"/>
    </xf>
    <xf numFmtId="0" fontId="14" fillId="0" borderId="0" xfId="40" applyAlignment="1">
      <alignment horizontal="left" wrapText="1"/>
    </xf>
  </cellXfs>
  <cellStyles count="56">
    <cellStyle name="20% - Accent1" xfId="2" xr:uid="{00000000-0005-0000-0000-000000000000}"/>
    <cellStyle name="20% - Accent2" xfId="3" xr:uid="{00000000-0005-0000-0000-000001000000}"/>
    <cellStyle name="20% - Accent3" xfId="4" xr:uid="{00000000-0005-0000-0000-000002000000}"/>
    <cellStyle name="20% - Accent4" xfId="5" xr:uid="{00000000-0005-0000-0000-000003000000}"/>
    <cellStyle name="20% - Accent5" xfId="6" xr:uid="{00000000-0005-0000-0000-000004000000}"/>
    <cellStyle name="20% - Accent6" xfId="7" xr:uid="{00000000-0005-0000-0000-000005000000}"/>
    <cellStyle name="40% - Accent1" xfId="8" xr:uid="{00000000-0005-0000-0000-000006000000}"/>
    <cellStyle name="40% - Accent2" xfId="9" xr:uid="{00000000-0005-0000-0000-000007000000}"/>
    <cellStyle name="40% - Accent3" xfId="10" xr:uid="{00000000-0005-0000-0000-000008000000}"/>
    <cellStyle name="40% - Accent4" xfId="11" xr:uid="{00000000-0005-0000-0000-000009000000}"/>
    <cellStyle name="40% - Accent5" xfId="12" xr:uid="{00000000-0005-0000-0000-00000A000000}"/>
    <cellStyle name="40% - Accent6" xfId="13" xr:uid="{00000000-0005-0000-0000-00000B000000}"/>
    <cellStyle name="60% - Accent1" xfId="14" xr:uid="{00000000-0005-0000-0000-00000C000000}"/>
    <cellStyle name="60% - Accent2" xfId="15" xr:uid="{00000000-0005-0000-0000-00000D000000}"/>
    <cellStyle name="60% - Accent3" xfId="16" xr:uid="{00000000-0005-0000-0000-00000E000000}"/>
    <cellStyle name="60% - Accent4" xfId="17" xr:uid="{00000000-0005-0000-0000-00000F000000}"/>
    <cellStyle name="60% - Accent5" xfId="18" xr:uid="{00000000-0005-0000-0000-000010000000}"/>
    <cellStyle name="60% - Accent6" xfId="19" xr:uid="{00000000-0005-0000-0000-000011000000}"/>
    <cellStyle name="Accent1" xfId="20" xr:uid="{00000000-0005-0000-0000-000012000000}"/>
    <cellStyle name="Accent2" xfId="21" xr:uid="{00000000-0005-0000-0000-000013000000}"/>
    <cellStyle name="Accent3" xfId="22" xr:uid="{00000000-0005-0000-0000-000014000000}"/>
    <cellStyle name="Accent4" xfId="23" xr:uid="{00000000-0005-0000-0000-000015000000}"/>
    <cellStyle name="Accent5" xfId="24" xr:uid="{00000000-0005-0000-0000-000016000000}"/>
    <cellStyle name="Accent6" xfId="25" xr:uid="{00000000-0005-0000-0000-000017000000}"/>
    <cellStyle name="Bad" xfId="26" xr:uid="{00000000-0005-0000-0000-000018000000}"/>
    <cellStyle name="Calculation" xfId="27" xr:uid="{00000000-0005-0000-0000-000019000000}"/>
    <cellStyle name="Check Cell" xfId="28" xr:uid="{00000000-0005-0000-0000-00001A000000}"/>
    <cellStyle name="Comma" xfId="54" builtinId="3"/>
    <cellStyle name="Explanatory Text" xfId="29" xr:uid="{00000000-0005-0000-0000-00001B000000}"/>
    <cellStyle name="Good" xfId="30" xr:uid="{00000000-0005-0000-0000-00001C000000}"/>
    <cellStyle name="Heading 1" xfId="31" xr:uid="{00000000-0005-0000-0000-00001D000000}"/>
    <cellStyle name="Heading 2" xfId="32" xr:uid="{00000000-0005-0000-0000-00001E000000}"/>
    <cellStyle name="Heading 3" xfId="33" xr:uid="{00000000-0005-0000-0000-00001F000000}"/>
    <cellStyle name="Heading 4" xfId="34" xr:uid="{00000000-0005-0000-0000-000020000000}"/>
    <cellStyle name="Hyperlink" xfId="55" builtinId="8"/>
    <cellStyle name="Input" xfId="35" xr:uid="{00000000-0005-0000-0000-000021000000}"/>
    <cellStyle name="Linked Cell" xfId="36" xr:uid="{00000000-0005-0000-0000-000022000000}"/>
    <cellStyle name="Millares 2" xfId="1" xr:uid="{00000000-0005-0000-0000-000024000000}"/>
    <cellStyle name="Moneda 2" xfId="37" xr:uid="{00000000-0005-0000-0000-000025000000}"/>
    <cellStyle name="Moneda 3" xfId="38" xr:uid="{00000000-0005-0000-0000-000026000000}"/>
    <cellStyle name="Moneda 4" xfId="39" xr:uid="{00000000-0005-0000-0000-000027000000}"/>
    <cellStyle name="Normal" xfId="0" builtinId="0"/>
    <cellStyle name="Normal 2" xfId="40" xr:uid="{00000000-0005-0000-0000-000029000000}"/>
    <cellStyle name="Normal 2 2" xfId="41" xr:uid="{00000000-0005-0000-0000-00002A000000}"/>
    <cellStyle name="Normal 3" xfId="42" xr:uid="{00000000-0005-0000-0000-00002B000000}"/>
    <cellStyle name="Normal 4" xfId="43" xr:uid="{00000000-0005-0000-0000-00002C000000}"/>
    <cellStyle name="Normal 6" xfId="52" xr:uid="{00000000-0005-0000-0000-00002D000000}"/>
    <cellStyle name="Normal 9" xfId="53" xr:uid="{00000000-0005-0000-0000-00002E000000}"/>
    <cellStyle name="Note" xfId="44" xr:uid="{00000000-0005-0000-0000-00002F000000}"/>
    <cellStyle name="Output" xfId="45" xr:uid="{00000000-0005-0000-0000-000030000000}"/>
    <cellStyle name="Percent" xfId="51" builtinId="5"/>
    <cellStyle name="Porcentual 2" xfId="46" xr:uid="{00000000-0005-0000-0000-000032000000}"/>
    <cellStyle name="Porcentual 3" xfId="47" xr:uid="{00000000-0005-0000-0000-000033000000}"/>
    <cellStyle name="Porcentual 4" xfId="48" xr:uid="{00000000-0005-0000-0000-000034000000}"/>
    <cellStyle name="Title" xfId="49" xr:uid="{00000000-0005-0000-0000-000035000000}"/>
    <cellStyle name="Warning Text" xfId="50" xr:uid="{00000000-0005-0000-0000-000036000000}"/>
  </cellStyles>
  <dxfs count="1">
    <dxf>
      <fill>
        <patternFill>
          <bgColor rgb="FFF44236"/>
        </patternFill>
      </fill>
    </dxf>
  </dxfs>
  <tableStyles count="0" defaultTableStyle="TableStyleMedium2" defaultPivotStyle="PivotStyleLight16"/>
  <colors>
    <mruColors>
      <color rgb="FFF44236"/>
      <color rgb="FF2095F2"/>
      <color rgb="FFEAB200"/>
      <color rgb="FF000099"/>
      <color rgb="FFCCFF66"/>
      <color rgb="FF4BAF4F"/>
      <color rgb="FF66B5F6"/>
      <color rgb="FF3E50B4"/>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4C599241-6926-101B-9992-00000B65C6F9}"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4C599241-6926-101B-9992-00000B65C6F9}" ax:persistence="persistStreamInit" r:id="rId1"/>
</file>

<file path=xl/activeX/activeX8.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0</xdr:row>
      <xdr:rowOff>19050</xdr:rowOff>
    </xdr:from>
    <xdr:to>
      <xdr:col>1</xdr:col>
      <xdr:colOff>2247623</xdr:colOff>
      <xdr:row>3</xdr:row>
      <xdr:rowOff>114217</xdr:rowOff>
    </xdr:to>
    <xdr:pic>
      <xdr:nvPicPr>
        <xdr:cNvPr id="4" name="3 Imagen">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stretch>
          <a:fillRect/>
        </a:stretch>
      </xdr:blipFill>
      <xdr:spPr>
        <a:xfrm>
          <a:off x="28575" y="19050"/>
          <a:ext cx="2219048" cy="6666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26933</xdr:colOff>
      <xdr:row>67</xdr:row>
      <xdr:rowOff>36309</xdr:rowOff>
    </xdr:from>
    <xdr:to>
      <xdr:col>51</xdr:col>
      <xdr:colOff>159140</xdr:colOff>
      <xdr:row>70</xdr:row>
      <xdr:rowOff>148809</xdr:rowOff>
    </xdr:to>
    <xdr:pic>
      <xdr:nvPicPr>
        <xdr:cNvPr id="3" name="Picture 7" descr="Sello Choucair con registro">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713733" y="13752309"/>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18433" name="imgAgregarFilaAccion"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18434" name="imgEliminarFilaAccion" hidden="1">
              <a:extLst>
                <a:ext uri="{63B3BB69-23CF-44E3-9099-C40C66FF867C}">
                  <a14:compatExt spid="_x0000_s18434"/>
                </a:ext>
                <a:ext uri="{FF2B5EF4-FFF2-40B4-BE49-F238E27FC236}">
                  <a16:creationId xmlns:a16="http://schemas.microsoft.com/office/drawing/2014/main" id="{00000000-0008-0000-0A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38</xdr:row>
          <xdr:rowOff>9525</xdr:rowOff>
        </xdr:from>
        <xdr:to>
          <xdr:col>52</xdr:col>
          <xdr:colOff>0</xdr:colOff>
          <xdr:row>38</xdr:row>
          <xdr:rowOff>180975</xdr:rowOff>
        </xdr:to>
        <xdr:sp macro="" textlink="">
          <xdr:nvSpPr>
            <xdr:cNvPr id="18435" name="imgAgregarFilaMotivo" hidden="1">
              <a:extLst>
                <a:ext uri="{63B3BB69-23CF-44E3-9099-C40C66FF867C}">
                  <a14:compatExt spid="_x0000_s18435"/>
                </a:ext>
                <a:ext uri="{FF2B5EF4-FFF2-40B4-BE49-F238E27FC236}">
                  <a16:creationId xmlns:a16="http://schemas.microsoft.com/office/drawing/2014/main" id="{00000000-0008-0000-0A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38</xdr:row>
          <xdr:rowOff>9525</xdr:rowOff>
        </xdr:from>
        <xdr:to>
          <xdr:col>50</xdr:col>
          <xdr:colOff>0</xdr:colOff>
          <xdr:row>38</xdr:row>
          <xdr:rowOff>180975</xdr:rowOff>
        </xdr:to>
        <xdr:sp macro="" textlink="">
          <xdr:nvSpPr>
            <xdr:cNvPr id="18436" name="imgEliminarFilaMotivo" hidden="1">
              <a:extLst>
                <a:ext uri="{63B3BB69-23CF-44E3-9099-C40C66FF867C}">
                  <a14:compatExt spid="_x0000_s18436"/>
                </a:ext>
                <a:ext uri="{FF2B5EF4-FFF2-40B4-BE49-F238E27FC236}">
                  <a16:creationId xmlns:a16="http://schemas.microsoft.com/office/drawing/2014/main" id="{00000000-0008-0000-0A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52</xdr:row>
          <xdr:rowOff>9525</xdr:rowOff>
        </xdr:from>
        <xdr:to>
          <xdr:col>52</xdr:col>
          <xdr:colOff>0</xdr:colOff>
          <xdr:row>52</xdr:row>
          <xdr:rowOff>180975</xdr:rowOff>
        </xdr:to>
        <xdr:sp macro="" textlink="">
          <xdr:nvSpPr>
            <xdr:cNvPr id="18438" name="imgAgregarFilaObservacion" hidden="1">
              <a:extLst>
                <a:ext uri="{63B3BB69-23CF-44E3-9099-C40C66FF867C}">
                  <a14:compatExt spid="_x0000_s18438"/>
                </a:ext>
                <a:ext uri="{FF2B5EF4-FFF2-40B4-BE49-F238E27FC236}">
                  <a16:creationId xmlns:a16="http://schemas.microsoft.com/office/drawing/2014/main" id="{00000000-0008-0000-0A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52</xdr:row>
          <xdr:rowOff>9525</xdr:rowOff>
        </xdr:from>
        <xdr:to>
          <xdr:col>50</xdr:col>
          <xdr:colOff>0</xdr:colOff>
          <xdr:row>52</xdr:row>
          <xdr:rowOff>180975</xdr:rowOff>
        </xdr:to>
        <xdr:sp macro="" textlink="">
          <xdr:nvSpPr>
            <xdr:cNvPr id="18439" name="imgEliminarFilaObservacion" hidden="1">
              <a:extLst>
                <a:ext uri="{63B3BB69-23CF-44E3-9099-C40C66FF867C}">
                  <a14:compatExt spid="_x0000_s18439"/>
                </a:ext>
                <a:ext uri="{FF2B5EF4-FFF2-40B4-BE49-F238E27FC236}">
                  <a16:creationId xmlns:a16="http://schemas.microsoft.com/office/drawing/2014/main" id="{00000000-0008-0000-0A00-000007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62</xdr:row>
          <xdr:rowOff>9525</xdr:rowOff>
        </xdr:from>
        <xdr:to>
          <xdr:col>52</xdr:col>
          <xdr:colOff>0</xdr:colOff>
          <xdr:row>62</xdr:row>
          <xdr:rowOff>180975</xdr:rowOff>
        </xdr:to>
        <xdr:sp macro="" textlink="">
          <xdr:nvSpPr>
            <xdr:cNvPr id="18440" name="imgAgregarFilaFirma" hidden="1">
              <a:extLst>
                <a:ext uri="{63B3BB69-23CF-44E3-9099-C40C66FF867C}">
                  <a14:compatExt spid="_x0000_s18440"/>
                </a:ext>
                <a:ext uri="{FF2B5EF4-FFF2-40B4-BE49-F238E27FC236}">
                  <a16:creationId xmlns:a16="http://schemas.microsoft.com/office/drawing/2014/main" id="{00000000-0008-0000-0A00-000008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62</xdr:row>
          <xdr:rowOff>9525</xdr:rowOff>
        </xdr:from>
        <xdr:to>
          <xdr:col>50</xdr:col>
          <xdr:colOff>0</xdr:colOff>
          <xdr:row>62</xdr:row>
          <xdr:rowOff>180975</xdr:rowOff>
        </xdr:to>
        <xdr:sp macro="" textlink="">
          <xdr:nvSpPr>
            <xdr:cNvPr id="18441" name="imgEliminarFilaFirma" hidden="1">
              <a:extLst>
                <a:ext uri="{63B3BB69-23CF-44E3-9099-C40C66FF867C}">
                  <a14:compatExt spid="_x0000_s18441"/>
                </a:ext>
                <a:ext uri="{FF2B5EF4-FFF2-40B4-BE49-F238E27FC236}">
                  <a16:creationId xmlns:a16="http://schemas.microsoft.com/office/drawing/2014/main" id="{00000000-0008-0000-0A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uario/AppData/Local/Microsoft/Windows/Temporary%20Internet%20Files/Content.Outlook/S2XJXV3X/Plan%20Generalv2Rapid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moreno/Downloads/P%20-%20Informe%20de%20Avance%2020112018%20RFCXXXXLOG%20&#8211;%20PCE%20PAGO%20CONTRA%20ENTREG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glancheros/AppData/Local/Microsoft/Windows/INetCache/Content.Outlook/WOG4JBZM/Plan%20General%20Pruebas%20Construcci&#243;n-Novedades%20de%20nomin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glancheros/AppData/Local/Microsoft/Windows/INetCache/Content.Outlook/2CF20ZF9/Borrador%20-%20M%20-%20Vista%20FE%20-%20Clientes%20VE%20con%20atributo%20VAD.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aci&#243;n%20Directv/Spira/Casos%20de%20Prueba_ejemplo.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usuario/Documents/Glorieth/DIRECTV/Glorieth/Requerimientos/FOX+%20Contrato%2024%20meses/Plan%20Gene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s"/>
      <sheetName val="APPG"/>
      <sheetName val="PlanPruebasReq"/>
      <sheetName val="PlanPruebasDis"/>
      <sheetName val="PlanPruebasFunCon"/>
      <sheetName val="APRD"/>
      <sheetName val="Hoja1"/>
      <sheetName val="Insertidumbre"/>
      <sheetName val="Estimación"/>
      <sheetName val="ResumenDiseno"/>
      <sheetName val="Corrida 1"/>
      <sheetName val="Corrida 2"/>
      <sheetName val="MaestroCasos"/>
      <sheetName val="InformeCierre"/>
      <sheetName val="CartaCondicionada"/>
      <sheetName val="DevolucionPrueba"/>
      <sheetName val="DevolucionProyecto"/>
      <sheetName val="SuspensionPrueba"/>
      <sheetName val="SuspensionProyecto"/>
      <sheetName val="CancelacionPrueba"/>
      <sheetName val="CancelacionProyecto"/>
      <sheetName val="Incidentes"/>
      <sheetName val="Cronograma"/>
      <sheetName val="Desfases"/>
      <sheetName val="Informe de avance"/>
      <sheetName val="CartaTermProducto"/>
      <sheetName val="InformeCierreEC"/>
      <sheetName val="lista"/>
    </sheetNames>
    <sheetDataSet>
      <sheetData sheetId="0">
        <row r="5">
          <cell r="B5" t="str">
            <v>Requisitos</v>
          </cell>
          <cell r="D5" t="str">
            <v>Si</v>
          </cell>
          <cell r="G5" t="str">
            <v>En Proceso</v>
          </cell>
          <cell r="H5" t="str">
            <v>Nivel_Sistema</v>
          </cell>
          <cell r="J5" t="str">
            <v>X</v>
          </cell>
          <cell r="K5" t="str">
            <v>X</v>
          </cell>
          <cell r="L5" t="str">
            <v>Funcional</v>
          </cell>
          <cell r="M5" t="str">
            <v>Alto</v>
          </cell>
          <cell r="N5" t="str">
            <v>Alta</v>
          </cell>
          <cell r="O5" t="str">
            <v>Requisitos</v>
          </cell>
          <cell r="P5" t="str">
            <v>Logística</v>
          </cell>
          <cell r="Q5" t="str">
            <v>Severe</v>
          </cell>
          <cell r="R5" t="str">
            <v>Manual</v>
          </cell>
          <cell r="S5" t="str">
            <v>Manual</v>
          </cell>
          <cell r="U5" t="str">
            <v>Funcionales y Básicas No Funcionales en Requisitos</v>
          </cell>
          <cell r="V5" t="str">
            <v>Extra-Corta</v>
          </cell>
          <cell r="W5" t="str">
            <v>Detección y reporte de issues</v>
          </cell>
          <cell r="X5" t="str">
            <v>C</v>
          </cell>
          <cell r="Y5" t="str">
            <v>Silk Central</v>
          </cell>
          <cell r="Z5" t="str">
            <v>Hallazgo</v>
          </cell>
        </row>
        <row r="6">
          <cell r="B6" t="str">
            <v>Diseño</v>
          </cell>
          <cell r="D6" t="str">
            <v>No</v>
          </cell>
          <cell r="G6" t="str">
            <v>Suspendido</v>
          </cell>
          <cell r="H6" t="str">
            <v>Nivel_Aceptación</v>
          </cell>
          <cell r="J6" t="str">
            <v>N/A</v>
          </cell>
          <cell r="K6" t="str">
            <v>F</v>
          </cell>
          <cell r="L6" t="str">
            <v>Performance</v>
          </cell>
          <cell r="M6" t="str">
            <v>Medio</v>
          </cell>
          <cell r="N6" t="str">
            <v>Media</v>
          </cell>
          <cell r="O6" t="str">
            <v>Diseño</v>
          </cell>
          <cell r="P6" t="str">
            <v>Planeación</v>
          </cell>
          <cell r="Q6" t="str">
            <v>High</v>
          </cell>
          <cell r="R6" t="str">
            <v>Automatizada</v>
          </cell>
          <cell r="S6" t="str">
            <v>Auto</v>
          </cell>
          <cell r="U6" t="str">
            <v>Funcionales y Básicas No Funcionales en Diseño</v>
          </cell>
          <cell r="V6" t="str">
            <v>Requisitos</v>
          </cell>
          <cell r="W6" t="str">
            <v>No necesitó regresión</v>
          </cell>
          <cell r="X6" t="str">
            <v>M</v>
          </cell>
          <cell r="Y6" t="str">
            <v>Plantilla Choucair</v>
          </cell>
          <cell r="Z6" t="str">
            <v>Next Versión</v>
          </cell>
        </row>
        <row r="7">
          <cell r="B7" t="str">
            <v>Construcción</v>
          </cell>
          <cell r="G7" t="str">
            <v>Cancelado</v>
          </cell>
          <cell r="L7" t="str">
            <v>Seguridad</v>
          </cell>
          <cell r="M7" t="str">
            <v>Bajo</v>
          </cell>
          <cell r="N7" t="str">
            <v>Baja</v>
          </cell>
          <cell r="O7" t="str">
            <v>Construcción</v>
          </cell>
          <cell r="P7" t="str">
            <v>Diseño</v>
          </cell>
          <cell r="Q7" t="str">
            <v>Medium</v>
          </cell>
          <cell r="R7" t="str">
            <v>Manual y Atutomatizada</v>
          </cell>
          <cell r="S7" t="str">
            <v>Mixta</v>
          </cell>
          <cell r="U7" t="str">
            <v>Funcionales en Construcción</v>
          </cell>
          <cell r="V7" t="str">
            <v>Diseño</v>
          </cell>
          <cell r="W7" t="str">
            <v>Gestión de issues</v>
          </cell>
          <cell r="X7" t="str">
            <v>D</v>
          </cell>
        </row>
        <row r="8">
          <cell r="G8" t="str">
            <v>Finalizado</v>
          </cell>
          <cell r="P8" t="str">
            <v>Ejecución</v>
          </cell>
          <cell r="Q8" t="str">
            <v>Low</v>
          </cell>
          <cell r="U8" t="str">
            <v>Performance en Construcción</v>
          </cell>
          <cell r="V8" t="str">
            <v>Funcional</v>
          </cell>
          <cell r="W8" t="str">
            <v>Administración control de Versiones o Releases</v>
          </cell>
          <cell r="X8" t="str">
            <v>A</v>
          </cell>
        </row>
        <row r="9">
          <cell r="U9" t="str">
            <v>Seguridad en Construcción</v>
          </cell>
          <cell r="V9" t="str">
            <v>Performance</v>
          </cell>
          <cell r="W9" t="str">
            <v>Retraso en entrega del Set de Datos</v>
          </cell>
        </row>
        <row r="10">
          <cell r="V10" t="str">
            <v>Seguridad</v>
          </cell>
          <cell r="W10" t="str">
            <v>Problemas de datos y/o reproceso en extracción</v>
          </cell>
        </row>
        <row r="11">
          <cell r="W11" t="str">
            <v>Estabilización Inicial de ambiente de pruebas</v>
          </cell>
        </row>
        <row r="12">
          <cell r="W12" t="str">
            <v>Inestabilidad del ambiente de pruebas después de estabilización</v>
          </cell>
        </row>
        <row r="13">
          <cell r="W13" t="str">
            <v>Actividades de SW o HW no planeadas</v>
          </cell>
        </row>
        <row r="14">
          <cell r="W14" t="str">
            <v xml:space="preserve">Atraso en entrega de version inicial o intermedia de Artefactos </v>
          </cell>
        </row>
        <row r="15">
          <cell r="W15" t="str">
            <v>Cambio en el Alcance de funcionalidad y/o transacciones</v>
          </cell>
        </row>
        <row r="16">
          <cell r="W16" t="str">
            <v>Priorización y Reprogramación por solicitud del cliente</v>
          </cell>
        </row>
        <row r="17">
          <cell r="W17" t="str">
            <v>Ejecución simultánea de procesos no planeados en ambiente pruebas compartido</v>
          </cell>
        </row>
        <row r="18">
          <cell r="W18" t="str">
            <v>Novedades equipo de trabajo</v>
          </cell>
        </row>
        <row r="19">
          <cell r="W19" t="str">
            <v>Desconocimiento reglas del negocio</v>
          </cell>
        </row>
        <row r="20">
          <cell r="W20" t="str">
            <v>Transferencia del conocimiento al interior de Choucair</v>
          </cell>
        </row>
        <row r="21">
          <cell r="W21" t="str">
            <v>Disponibilidad y sincornización de equipos de trabajo</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Planeacion"/>
      <sheetName val="Riesgos"/>
      <sheetName val="Factor de Ajuste"/>
      <sheetName val="Desfases"/>
      <sheetName val="Seguimiento"/>
      <sheetName val="InformeAvance"/>
      <sheetName val="HistoricoObs"/>
      <sheetName val="InformeCierre"/>
      <sheetName val="Listas"/>
    </sheetNames>
    <sheetDataSet>
      <sheetData sheetId="0"/>
      <sheetData sheetId="1"/>
      <sheetData sheetId="2"/>
      <sheetData sheetId="3"/>
      <sheetData sheetId="4"/>
      <sheetData sheetId="5"/>
      <sheetData sheetId="6"/>
      <sheetData sheetId="7"/>
      <sheetData sheetId="8"/>
      <sheetData sheetId="9">
        <row r="5">
          <cell r="D5" t="str">
            <v>SGL WEB</v>
          </cell>
        </row>
        <row r="6">
          <cell r="D6" t="str">
            <v>Aplicativo 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s"/>
      <sheetName val="ListasEditables"/>
      <sheetName val="APPG"/>
      <sheetName val="PlanGeneral"/>
      <sheetName val="RiesgosProyecto"/>
      <sheetName val="PlanPruebasReq"/>
      <sheetName val="PlanPruebasDis"/>
      <sheetName val="PlanPruebasFunCon"/>
      <sheetName val="InformeCierre"/>
      <sheetName val="InformeCierreCon"/>
      <sheetName val="CartaTermProducto"/>
      <sheetName val="CartaTermProductoFunCon"/>
      <sheetName val="CartaCondicionada"/>
      <sheetName val="CartaCondicionadaFunCon"/>
      <sheetName val="DevolucionPrueba"/>
      <sheetName val="DevolucionProyecto"/>
      <sheetName val="SuspensionPrueba"/>
      <sheetName val="SuspensionProyecto"/>
      <sheetName val="CancelacionPrueba"/>
      <sheetName val="CancelacionProyecto"/>
      <sheetName val="SuspensionPruebaFun"/>
    </sheetNames>
    <sheetDataSet>
      <sheetData sheetId="0"/>
      <sheetData sheetId="1">
        <row r="8">
          <cell r="A8" t="str">
            <v>Mala calidad de artefacto recibido por parte del Cliente</v>
          </cell>
        </row>
        <row r="9">
          <cell r="A9" t="str">
            <v>Mala calidad de artefacto recibido por parte del Proveedor</v>
          </cell>
        </row>
        <row r="10">
          <cell r="A10" t="str">
            <v>Buena calidad de artefacto recibido por parte del Cliente</v>
          </cell>
        </row>
        <row r="11">
          <cell r="A11" t="str">
            <v>Buena calidad de artefacto recibido por parte del Proveedor</v>
          </cell>
        </row>
        <row r="12">
          <cell r="A12" t="str">
            <v>Gestión issues (responsable Cliente)</v>
          </cell>
        </row>
        <row r="13">
          <cell r="A13" t="str">
            <v>Gestión issues (responsable Proveedor)</v>
          </cell>
        </row>
        <row r="14">
          <cell r="A14" t="str">
            <v>Gestión issues (responsable Compañía)</v>
          </cell>
        </row>
        <row r="15">
          <cell r="A15" t="str">
            <v>Administración y control de versiones o releases de software (responsable Cliente)</v>
          </cell>
        </row>
        <row r="16">
          <cell r="A16" t="str">
            <v>Administración y control de versiones o releases de software (responsable Proveedor)</v>
          </cell>
        </row>
        <row r="17">
          <cell r="A17" t="str">
            <v>Administración y control de versiones o releases de documentación (responsable Cliente)</v>
          </cell>
        </row>
        <row r="18">
          <cell r="A18" t="str">
            <v>Administración y control de versiones o releases de documentación (responsable Proveedor)</v>
          </cell>
        </row>
        <row r="19">
          <cell r="A19" t="str">
            <v>Calidad del set de datos (responsable Cliente)</v>
          </cell>
        </row>
        <row r="20">
          <cell r="A20" t="str">
            <v>Calidad del set de datos (responsable Proveedor)</v>
          </cell>
        </row>
        <row r="21">
          <cell r="A21" t="str">
            <v>Calidad del set de datos (responsable Choucair)</v>
          </cell>
        </row>
        <row r="22">
          <cell r="A22" t="str">
            <v>Inestabilidad del ambiente de pruebas durante la ejecución (responsable Cliente)</v>
          </cell>
        </row>
        <row r="23">
          <cell r="A23" t="str">
            <v>Inestabilidad del ambiente de pruebas durante la ejecución (responsable Proveedor)</v>
          </cell>
        </row>
        <row r="24">
          <cell r="A24" t="str">
            <v>Inestabilidad del ambiente de pruebas durante la ejecución (responsable Compañía)</v>
          </cell>
        </row>
        <row r="25">
          <cell r="A25" t="str">
            <v>Actividades de SW o HW no planeadas (responsable Cliente)</v>
          </cell>
        </row>
        <row r="26">
          <cell r="A26" t="str">
            <v>Actividades de SW o HW no planeadas (responsable Proveedor)</v>
          </cell>
        </row>
        <row r="27">
          <cell r="A27" t="str">
            <v>Actividades de SW o HW no planeadas (responsable Compañía)</v>
          </cell>
        </row>
        <row r="28">
          <cell r="A28" t="str">
            <v>Incumplimiento en la entrega de artefactos (responsable Cliente)</v>
          </cell>
        </row>
        <row r="29">
          <cell r="A29" t="str">
            <v>Incumplimiento en la entrega de artefactos (responsable Proveedor)</v>
          </cell>
        </row>
        <row r="30">
          <cell r="A30" t="str">
            <v>Cambio de alcance (responsable Cliente)</v>
          </cell>
        </row>
        <row r="31">
          <cell r="A31" t="str">
            <v>Cambio de alcance (responsable Proveedor)</v>
          </cell>
        </row>
        <row r="32">
          <cell r="A32" t="str">
            <v>Ejecución en ambientes compartidos (responsable Cliente)</v>
          </cell>
        </row>
        <row r="33">
          <cell r="A33" t="str">
            <v>Ejecución en ambientes compartidos (responsable Proveedor)</v>
          </cell>
        </row>
        <row r="34">
          <cell r="A34" t="str">
            <v>Novedades equipo de trabajo (responsable Cliente)</v>
          </cell>
        </row>
        <row r="35">
          <cell r="A35" t="str">
            <v>Novedades equipo de trabajo (responsable Proveedor)</v>
          </cell>
        </row>
        <row r="36">
          <cell r="A36" t="str">
            <v>Novedades equipo de trabajo (responsable Compañía)</v>
          </cell>
        </row>
        <row r="37">
          <cell r="A37" t="str">
            <v>Desconocimiento negocio (responsable Cliente)</v>
          </cell>
        </row>
        <row r="38">
          <cell r="A38" t="str">
            <v>Desconocimiento negocio (responsable Proveedor)</v>
          </cell>
        </row>
        <row r="39">
          <cell r="A39" t="str">
            <v>Desconocimiento negocio Cliente (responsable Compañía)</v>
          </cell>
        </row>
        <row r="40">
          <cell r="A40" t="str">
            <v xml:space="preserve">Actividades del proyecto no planeadas (responsable Cliente) </v>
          </cell>
        </row>
        <row r="41">
          <cell r="A41" t="str">
            <v xml:space="preserve">Actividades del proyecto no planeadas (responsable Choucair) </v>
          </cell>
        </row>
        <row r="42">
          <cell r="A42" t="str">
            <v>Actividades no planeadas por la Compañía</v>
          </cell>
        </row>
        <row r="43">
          <cell r="A43" t="str">
            <v>Eventos externos (imputable al Cliente)</v>
          </cell>
        </row>
        <row r="44">
          <cell r="A44" t="str">
            <v>Eventos externos (imputable al Proveedor)</v>
          </cell>
        </row>
        <row r="45">
          <cell r="A45" t="str">
            <v>Eventos externos (imputable a la Compañia)</v>
          </cell>
        </row>
      </sheetData>
      <sheetData sheetId="2">
        <row r="77">
          <cell r="D77" t="str">
            <v>versión 3.9</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s"/>
      <sheetName val="ListasEditables"/>
      <sheetName val="APPG"/>
      <sheetName val="PlanGeneral"/>
      <sheetName val="RiesgosProyecto"/>
      <sheetName val="PlanPruebasReq"/>
      <sheetName val="PlanPruebasDis"/>
      <sheetName val="PlanPruebasFunCon"/>
      <sheetName val="InformeCierre"/>
      <sheetName val="InformeCierreCon"/>
      <sheetName val="CartaTermProducto"/>
      <sheetName val="CartaTermProductoFunCon"/>
      <sheetName val="CartaCondicionada"/>
      <sheetName val="CartaCondicionadaFunCon"/>
      <sheetName val="DevolucionPrueba"/>
      <sheetName val="DevolucionProyecto"/>
      <sheetName val="SuspensionPrueba"/>
      <sheetName val="SuspensionProyecto"/>
      <sheetName val="CancelacionPrueba"/>
      <sheetName val="CancelacionProyecto"/>
    </sheetNames>
    <sheetDataSet>
      <sheetData sheetId="0">
        <row r="5">
          <cell r="B5" t="str">
            <v>Requisitos</v>
          </cell>
          <cell r="AA5" t="str">
            <v>Estimación</v>
          </cell>
        </row>
        <row r="6">
          <cell r="AA6" t="str">
            <v>Planeación</v>
          </cell>
        </row>
        <row r="7">
          <cell r="AA7" t="str">
            <v>Diseño</v>
          </cell>
        </row>
        <row r="8">
          <cell r="AA8" t="str">
            <v>Ejecución</v>
          </cell>
        </row>
        <row r="9">
          <cell r="AA9" t="str">
            <v>Regresión</v>
          </cell>
        </row>
        <row r="10">
          <cell r="AA10" t="str">
            <v>Seguimiento y Cierre</v>
          </cell>
        </row>
      </sheetData>
      <sheetData sheetId="1">
        <row r="8">
          <cell r="A8" t="str">
            <v>Mala calidad de artefacto recibido por parte del Cliente</v>
          </cell>
        </row>
      </sheetData>
      <sheetData sheetId="2"/>
      <sheetData sheetId="3"/>
      <sheetData sheetId="4"/>
      <sheetData sheetId="5"/>
      <sheetData sheetId="6"/>
      <sheetData sheetId="7">
        <row r="51">
          <cell r="C51" t="str">
            <v>–</v>
          </cell>
        </row>
      </sheetData>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leases"/>
      <sheetName val="Requirements"/>
      <sheetName val="Test Sets"/>
      <sheetName val="Test Cases"/>
      <sheetName val="Test Runs"/>
      <sheetName val="Incidents"/>
      <sheetName val="Tasks"/>
      <sheetName val="Lookups"/>
    </sheetNames>
    <sheetDataSet>
      <sheetData sheetId="0"/>
      <sheetData sheetId="1"/>
      <sheetData sheetId="2"/>
      <sheetData sheetId="3"/>
      <sheetData sheetId="4"/>
      <sheetData sheetId="5"/>
      <sheetData sheetId="6"/>
      <sheetData sheetId="7">
        <row r="3">
          <cell r="A3" t="str">
            <v>Requested</v>
          </cell>
          <cell r="C3" t="str">
            <v>1 - Critical</v>
          </cell>
          <cell r="E3" t="str">
            <v>Y</v>
          </cell>
          <cell r="F3" t="str">
            <v>Not Started</v>
          </cell>
          <cell r="H3" t="str">
            <v>1 - Critical</v>
          </cell>
          <cell r="J3" t="str">
            <v>FOLDER</v>
          </cell>
          <cell r="K3" t="str">
            <v>Not Started</v>
          </cell>
          <cell r="M3" t="str">
            <v>1 - Critical</v>
          </cell>
          <cell r="W3" t="str">
            <v>Failed</v>
          </cell>
        </row>
        <row r="4">
          <cell r="A4" t="str">
            <v>Evaluated</v>
          </cell>
          <cell r="C4" t="str">
            <v>2 - High</v>
          </cell>
          <cell r="E4" t="str">
            <v>N</v>
          </cell>
          <cell r="F4" t="str">
            <v>In Progress</v>
          </cell>
          <cell r="H4" t="str">
            <v>2 - High</v>
          </cell>
          <cell r="J4" t="str">
            <v>TestCase</v>
          </cell>
          <cell r="K4" t="str">
            <v>In Progress</v>
          </cell>
          <cell r="M4" t="str">
            <v>2 - High</v>
          </cell>
          <cell r="W4" t="str">
            <v>Passed</v>
          </cell>
        </row>
        <row r="5">
          <cell r="A5" t="str">
            <v>Accepted</v>
          </cell>
          <cell r="C5" t="str">
            <v>3 - Medium</v>
          </cell>
          <cell r="F5" t="str">
            <v>Completed</v>
          </cell>
          <cell r="H5" t="str">
            <v>3 - Medium</v>
          </cell>
          <cell r="J5" t="str">
            <v>&gt;TestStep</v>
          </cell>
          <cell r="K5" t="str">
            <v>Completed</v>
          </cell>
          <cell r="M5" t="str">
            <v>3 - Medium</v>
          </cell>
          <cell r="W5" t="str">
            <v>Not Run</v>
          </cell>
        </row>
        <row r="6">
          <cell r="A6" t="str">
            <v>Rejected</v>
          </cell>
          <cell r="C6" t="str">
            <v>4 - Low</v>
          </cell>
          <cell r="F6" t="str">
            <v>Blocked</v>
          </cell>
          <cell r="H6" t="str">
            <v>4 - Low</v>
          </cell>
          <cell r="K6" t="str">
            <v>Blocked</v>
          </cell>
          <cell r="M6" t="str">
            <v>4 - Low</v>
          </cell>
          <cell r="W6" t="str">
            <v>N/A</v>
          </cell>
        </row>
        <row r="7">
          <cell r="A7" t="str">
            <v>Planned</v>
          </cell>
          <cell r="F7" t="str">
            <v>Deferred</v>
          </cell>
          <cell r="K7" t="str">
            <v>Deferred</v>
          </cell>
          <cell r="W7" t="str">
            <v>Blocked</v>
          </cell>
        </row>
        <row r="8">
          <cell r="A8" t="str">
            <v>In Progress</v>
          </cell>
          <cell r="W8" t="str">
            <v>Caution</v>
          </cell>
        </row>
        <row r="9">
          <cell r="A9" t="str">
            <v>Completed</v>
          </cell>
        </row>
        <row r="10">
          <cell r="A10" t="str">
            <v>Obsolete</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s"/>
      <sheetName val="APPG"/>
      <sheetName val="PlanGeneral"/>
      <sheetName val="RiesgosProyecto"/>
      <sheetName val="PlanPruebasReq"/>
      <sheetName val="PlanPruebasDis"/>
      <sheetName val="PlanPruebasFunCon"/>
      <sheetName val="APRD"/>
      <sheetName val="ResumenDiseno"/>
      <sheetName val="Corrida 1"/>
      <sheetName val="Corrida 2"/>
      <sheetName val="MaestroCasos"/>
      <sheetName val="InformeCierre"/>
      <sheetName val="InformeCierreCon"/>
      <sheetName val="CartaTermProducto"/>
      <sheetName val="CartaTermProductoFunCon"/>
      <sheetName val="CartaCondicionada"/>
      <sheetName val="CartaCondicionadaFunCon"/>
      <sheetName val="DevolucionPrueba"/>
      <sheetName val="DevolucionProyecto"/>
      <sheetName val="SuspensionPrueba"/>
      <sheetName val="SuspensionProyecto"/>
      <sheetName val="CancelacionPrueba"/>
      <sheetName val="CancelacionProyecto"/>
      <sheetName val="Lookups"/>
    </sheetNames>
    <sheetDataSet>
      <sheetData sheetId="0">
        <row r="5">
          <cell r="B5" t="str">
            <v>Requisitos</v>
          </cell>
          <cell r="AA5" t="str">
            <v>Requisitos</v>
          </cell>
        </row>
        <row r="6">
          <cell r="AA6" t="str">
            <v>Diseño</v>
          </cell>
        </row>
        <row r="7">
          <cell r="AA7" t="str">
            <v>Funcional</v>
          </cell>
        </row>
        <row r="8">
          <cell r="AA8" t="str">
            <v>Performance</v>
          </cell>
        </row>
        <row r="9">
          <cell r="AA9" t="str">
            <v>Seguridad</v>
          </cell>
        </row>
        <row r="10">
          <cell r="AA10" t="str">
            <v>Contable</v>
          </cell>
        </row>
      </sheetData>
      <sheetData sheetId="1">
        <row r="77">
          <cell r="D77" t="str">
            <v>versión 3.5</v>
          </cell>
        </row>
      </sheetData>
      <sheetData sheetId="2"/>
      <sheetData sheetId="3"/>
      <sheetData sheetId="4"/>
      <sheetData sheetId="5"/>
      <sheetData sheetId="6"/>
      <sheetData sheetId="7"/>
      <sheetData sheetId="8"/>
      <sheetData sheetId="9"/>
      <sheetData sheetId="10"/>
      <sheetData sheetId="11"/>
      <sheetData sheetId="12"/>
      <sheetData sheetId="13">
        <row r="2">
          <cell r="BV2" t="str">
            <v>Severe</v>
          </cell>
        </row>
      </sheetData>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opencart.abstracta.us/"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opencart.abstracta.us/"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T32"/>
  <sheetViews>
    <sheetView showGridLines="0" zoomScale="70" zoomScaleNormal="70" workbookViewId="0">
      <selection activeCell="N10" sqref="N10"/>
    </sheetView>
  </sheetViews>
  <sheetFormatPr defaultColWidth="0" defaultRowHeight="15" zeroHeight="1" x14ac:dyDescent="0.25"/>
  <cols>
    <col min="1" max="1" width="3.85546875" customWidth="1"/>
    <col min="2" max="19" width="7.42578125" customWidth="1"/>
    <col min="20" max="20" width="11.42578125" customWidth="1"/>
    <col min="21" max="16384" width="11.42578125" hidden="1"/>
  </cols>
  <sheetData>
    <row r="1" spans="2:19" x14ac:dyDescent="0.25"/>
    <row r="2" spans="2:19" x14ac:dyDescent="0.25">
      <c r="B2" s="135" t="s">
        <v>204</v>
      </c>
      <c r="C2" s="136"/>
      <c r="D2" s="136"/>
      <c r="E2" s="136"/>
      <c r="F2" s="136"/>
      <c r="G2" s="137"/>
      <c r="H2" s="91"/>
      <c r="I2" s="91"/>
      <c r="J2" s="91"/>
      <c r="K2" s="91"/>
      <c r="L2" s="91"/>
      <c r="M2" s="91"/>
      <c r="N2" s="91"/>
      <c r="O2" s="91"/>
      <c r="P2" s="91"/>
      <c r="Q2" s="91"/>
      <c r="R2" s="91"/>
      <c r="S2" s="91"/>
    </row>
    <row r="3" spans="2:19" x14ac:dyDescent="0.25">
      <c r="B3" s="9"/>
      <c r="C3" s="9"/>
      <c r="D3" s="9"/>
      <c r="E3" s="9"/>
      <c r="F3" s="9"/>
      <c r="G3" s="9"/>
      <c r="H3" s="9"/>
      <c r="I3" s="9"/>
      <c r="J3" s="9"/>
      <c r="K3" s="9"/>
      <c r="L3" s="9"/>
      <c r="M3" s="9"/>
      <c r="N3" s="9"/>
      <c r="O3" s="9"/>
      <c r="P3" s="9"/>
      <c r="Q3" s="9"/>
      <c r="R3" s="9"/>
      <c r="S3" s="9"/>
    </row>
    <row r="4" spans="2:19" x14ac:dyDescent="0.25">
      <c r="B4" s="92"/>
      <c r="C4" s="93"/>
      <c r="D4" s="93"/>
      <c r="E4" s="93"/>
      <c r="F4" s="93"/>
      <c r="G4" s="93"/>
      <c r="H4" s="93"/>
      <c r="I4" s="93"/>
      <c r="J4" s="93"/>
      <c r="K4" s="93"/>
      <c r="L4" s="93"/>
      <c r="M4" s="93"/>
      <c r="N4" s="93"/>
      <c r="O4" s="93"/>
      <c r="P4" s="93"/>
      <c r="Q4" s="93"/>
      <c r="R4" s="93"/>
      <c r="S4" s="94"/>
    </row>
    <row r="5" spans="2:19" s="6" customFormat="1" ht="33" customHeight="1" x14ac:dyDescent="0.25">
      <c r="B5" s="102"/>
      <c r="C5" s="138" t="s">
        <v>213</v>
      </c>
      <c r="D5" s="139"/>
      <c r="E5" s="139"/>
      <c r="F5" s="103"/>
      <c r="G5" s="138" t="s">
        <v>207</v>
      </c>
      <c r="H5" s="139"/>
      <c r="I5" s="139"/>
      <c r="J5" s="103"/>
      <c r="K5" s="138" t="s">
        <v>209</v>
      </c>
      <c r="L5" s="139"/>
      <c r="M5" s="139"/>
      <c r="N5" s="103"/>
      <c r="O5" s="138" t="s">
        <v>208</v>
      </c>
      <c r="P5" s="139"/>
      <c r="Q5" s="139"/>
      <c r="R5" s="103"/>
      <c r="S5" s="104"/>
    </row>
    <row r="6" spans="2:19" x14ac:dyDescent="0.25">
      <c r="B6" s="95"/>
      <c r="C6" s="9"/>
      <c r="D6" s="97"/>
      <c r="E6" s="9"/>
      <c r="F6" s="9"/>
      <c r="G6" s="9"/>
      <c r="H6" s="97"/>
      <c r="I6" s="9"/>
      <c r="J6" s="9"/>
      <c r="K6" s="97"/>
      <c r="L6" s="9"/>
      <c r="M6" s="9"/>
      <c r="N6" s="9"/>
      <c r="O6" s="97"/>
      <c r="P6" s="9"/>
      <c r="Q6" s="9"/>
      <c r="R6" s="9"/>
      <c r="S6" s="96"/>
    </row>
    <row r="7" spans="2:19" x14ac:dyDescent="0.25">
      <c r="B7" s="95"/>
      <c r="C7" s="108" t="e">
        <f>#REF!</f>
        <v>#REF!</v>
      </c>
      <c r="D7" s="109"/>
      <c r="E7" s="110"/>
      <c r="F7" s="9"/>
      <c r="G7" s="108" t="e">
        <f>#REF!</f>
        <v>#REF!</v>
      </c>
      <c r="H7" s="109"/>
      <c r="I7" s="110"/>
      <c r="J7" s="9"/>
      <c r="K7" s="117">
        <f>SUM(Diseño!M6:M17)</f>
        <v>0</v>
      </c>
      <c r="L7" s="118"/>
      <c r="M7" s="119"/>
      <c r="N7" s="9"/>
      <c r="O7" s="126" t="e">
        <f>G7-K7</f>
        <v>#REF!</v>
      </c>
      <c r="P7" s="127"/>
      <c r="Q7" s="128"/>
      <c r="R7" s="9"/>
      <c r="S7" s="96"/>
    </row>
    <row r="8" spans="2:19" x14ac:dyDescent="0.25">
      <c r="B8" s="95"/>
      <c r="C8" s="111"/>
      <c r="D8" s="112"/>
      <c r="E8" s="113"/>
      <c r="F8" s="9"/>
      <c r="G8" s="111"/>
      <c r="H8" s="112"/>
      <c r="I8" s="113"/>
      <c r="J8" s="9"/>
      <c r="K8" s="120"/>
      <c r="L8" s="121"/>
      <c r="M8" s="122"/>
      <c r="N8" s="9"/>
      <c r="O8" s="129"/>
      <c r="P8" s="130"/>
      <c r="Q8" s="131"/>
      <c r="R8" s="9"/>
      <c r="S8" s="96"/>
    </row>
    <row r="9" spans="2:19" x14ac:dyDescent="0.25">
      <c r="B9" s="95"/>
      <c r="C9" s="111"/>
      <c r="D9" s="112"/>
      <c r="E9" s="113"/>
      <c r="F9" s="9"/>
      <c r="G9" s="111"/>
      <c r="H9" s="112"/>
      <c r="I9" s="113"/>
      <c r="J9" s="9"/>
      <c r="K9" s="120"/>
      <c r="L9" s="121"/>
      <c r="M9" s="122"/>
      <c r="N9" s="9"/>
      <c r="O9" s="129"/>
      <c r="P9" s="130"/>
      <c r="Q9" s="131"/>
      <c r="R9" s="9"/>
      <c r="S9" s="96"/>
    </row>
    <row r="10" spans="2:19" x14ac:dyDescent="0.25">
      <c r="B10" s="95"/>
      <c r="C10" s="111"/>
      <c r="D10" s="112"/>
      <c r="E10" s="113"/>
      <c r="F10" s="9"/>
      <c r="G10" s="111"/>
      <c r="H10" s="112"/>
      <c r="I10" s="113"/>
      <c r="J10" s="9"/>
      <c r="K10" s="120"/>
      <c r="L10" s="121"/>
      <c r="M10" s="122"/>
      <c r="N10" s="9"/>
      <c r="O10" s="129"/>
      <c r="P10" s="130"/>
      <c r="Q10" s="131"/>
      <c r="R10" s="9"/>
      <c r="S10" s="96"/>
    </row>
    <row r="11" spans="2:19" x14ac:dyDescent="0.25">
      <c r="B11" s="95"/>
      <c r="C11" s="114"/>
      <c r="D11" s="115"/>
      <c r="E11" s="116"/>
      <c r="F11" s="9"/>
      <c r="G11" s="114"/>
      <c r="H11" s="115"/>
      <c r="I11" s="116"/>
      <c r="J11" s="9"/>
      <c r="K11" s="123"/>
      <c r="L11" s="124"/>
      <c r="M11" s="125"/>
      <c r="N11" s="9"/>
      <c r="O11" s="132"/>
      <c r="P11" s="133"/>
      <c r="Q11" s="134"/>
      <c r="R11" s="9"/>
      <c r="S11" s="96"/>
    </row>
    <row r="12" spans="2:19" x14ac:dyDescent="0.25">
      <c r="B12" s="95"/>
      <c r="C12" s="9"/>
      <c r="D12" s="9"/>
      <c r="E12" s="9"/>
      <c r="F12" s="9"/>
      <c r="G12" s="9"/>
      <c r="H12" s="9"/>
      <c r="I12" s="9"/>
      <c r="J12" s="9"/>
      <c r="K12" s="9"/>
      <c r="L12" s="9"/>
      <c r="M12" s="9"/>
      <c r="N12" s="9"/>
      <c r="O12" s="9"/>
      <c r="P12" s="9"/>
      <c r="Q12" s="9"/>
      <c r="R12" s="9"/>
      <c r="S12" s="96"/>
    </row>
    <row r="13" spans="2:19" ht="15.75" customHeight="1" x14ac:dyDescent="0.25">
      <c r="B13" s="95"/>
      <c r="C13" s="148" t="s">
        <v>205</v>
      </c>
      <c r="D13" s="149"/>
      <c r="E13" s="149"/>
      <c r="F13" s="149"/>
      <c r="G13" s="9"/>
      <c r="H13" s="158" t="s">
        <v>210</v>
      </c>
      <c r="I13" s="158"/>
      <c r="J13" s="158"/>
      <c r="K13" s="158"/>
      <c r="L13" s="9"/>
      <c r="M13" s="158" t="s">
        <v>211</v>
      </c>
      <c r="N13" s="158"/>
      <c r="O13" s="158"/>
      <c r="P13" s="158"/>
      <c r="Q13" s="9"/>
      <c r="R13" s="9"/>
      <c r="S13" s="96"/>
    </row>
    <row r="14" spans="2:19" x14ac:dyDescent="0.25">
      <c r="B14" s="95"/>
      <c r="C14" s="9"/>
      <c r="D14" s="9"/>
      <c r="E14" s="9"/>
      <c r="F14" s="9"/>
      <c r="G14" s="9"/>
      <c r="H14" s="9"/>
      <c r="I14" s="9"/>
      <c r="J14" s="9"/>
      <c r="K14" s="9"/>
      <c r="L14" s="9"/>
      <c r="M14" s="9"/>
      <c r="N14" s="9"/>
      <c r="O14" s="9"/>
      <c r="P14" s="9"/>
      <c r="Q14" s="9"/>
      <c r="R14" s="9"/>
      <c r="S14" s="96"/>
    </row>
    <row r="15" spans="2:19" ht="15" customHeight="1" x14ac:dyDescent="0.25">
      <c r="B15" s="95"/>
      <c r="C15" s="150">
        <f>COUNTIF(Diseño!F6:F17,"&lt;&gt;")</f>
        <v>3</v>
      </c>
      <c r="D15" s="151"/>
      <c r="E15" s="151"/>
      <c r="F15" s="152"/>
      <c r="G15" s="9"/>
      <c r="H15" s="150">
        <f>COUNTIF(Diseño!P6:P17,"OK")+COUNTIF(Diseño!P6:P17,"Fallido")</f>
        <v>2</v>
      </c>
      <c r="I15" s="151"/>
      <c r="J15" s="151"/>
      <c r="K15" s="152">
        <f>R62</f>
        <v>0</v>
      </c>
      <c r="L15" s="105" t="s">
        <v>201</v>
      </c>
      <c r="M15" s="150">
        <f>COUNTIF(Diseño!P6:P17,Resumen!L15)</f>
        <v>1</v>
      </c>
      <c r="N15" s="151"/>
      <c r="O15" s="151"/>
      <c r="P15" s="152"/>
      <c r="Q15" s="9"/>
      <c r="R15" s="9"/>
      <c r="S15" s="96"/>
    </row>
    <row r="16" spans="2:19" ht="15" customHeight="1" x14ac:dyDescent="0.25">
      <c r="B16" s="95"/>
      <c r="C16" s="153"/>
      <c r="D16" s="112"/>
      <c r="E16" s="112"/>
      <c r="F16" s="154"/>
      <c r="G16" s="9"/>
      <c r="H16" s="153"/>
      <c r="I16" s="112"/>
      <c r="J16" s="112"/>
      <c r="K16" s="154"/>
      <c r="L16" s="9"/>
      <c r="M16" s="153"/>
      <c r="N16" s="112"/>
      <c r="O16" s="112"/>
      <c r="P16" s="154"/>
      <c r="Q16" s="9"/>
      <c r="R16" s="9"/>
      <c r="S16" s="96"/>
    </row>
    <row r="17" spans="2:19" ht="15" customHeight="1" x14ac:dyDescent="0.25">
      <c r="B17" s="95"/>
      <c r="C17" s="153"/>
      <c r="D17" s="112"/>
      <c r="E17" s="112"/>
      <c r="F17" s="154"/>
      <c r="G17" s="9"/>
      <c r="H17" s="153"/>
      <c r="I17" s="112"/>
      <c r="J17" s="112"/>
      <c r="K17" s="154"/>
      <c r="L17" s="9"/>
      <c r="M17" s="153"/>
      <c r="N17" s="112"/>
      <c r="O17" s="112"/>
      <c r="P17" s="154"/>
      <c r="Q17" s="9"/>
      <c r="R17" s="9"/>
      <c r="S17" s="96"/>
    </row>
    <row r="18" spans="2:19" ht="15" customHeight="1" x14ac:dyDescent="0.25">
      <c r="B18" s="95"/>
      <c r="C18" s="153"/>
      <c r="D18" s="112"/>
      <c r="E18" s="112"/>
      <c r="F18" s="154"/>
      <c r="G18" s="9"/>
      <c r="H18" s="153"/>
      <c r="I18" s="112"/>
      <c r="J18" s="112"/>
      <c r="K18" s="154"/>
      <c r="L18" s="9"/>
      <c r="M18" s="153"/>
      <c r="N18" s="112"/>
      <c r="O18" s="112"/>
      <c r="P18" s="154"/>
      <c r="Q18" s="9"/>
      <c r="R18" s="9"/>
      <c r="S18" s="96"/>
    </row>
    <row r="19" spans="2:19" ht="15" customHeight="1" x14ac:dyDescent="0.25">
      <c r="B19" s="95"/>
      <c r="C19" s="155"/>
      <c r="D19" s="156"/>
      <c r="E19" s="156"/>
      <c r="F19" s="157"/>
      <c r="G19" s="9"/>
      <c r="H19" s="155"/>
      <c r="I19" s="156"/>
      <c r="J19" s="156"/>
      <c r="K19" s="157"/>
      <c r="L19" s="9"/>
      <c r="M19" s="155"/>
      <c r="N19" s="156"/>
      <c r="O19" s="156"/>
      <c r="P19" s="157"/>
      <c r="Q19" s="9"/>
      <c r="R19" s="9"/>
      <c r="S19" s="96"/>
    </row>
    <row r="20" spans="2:19" x14ac:dyDescent="0.25">
      <c r="B20" s="95"/>
      <c r="C20" s="9"/>
      <c r="D20" s="9"/>
      <c r="E20" s="9"/>
      <c r="F20" s="9"/>
      <c r="G20" s="9"/>
      <c r="H20" s="9"/>
      <c r="I20" s="9"/>
      <c r="J20" s="9"/>
      <c r="K20" s="159"/>
      <c r="L20" s="159"/>
      <c r="M20" s="159"/>
      <c r="N20" s="159"/>
      <c r="O20" s="159"/>
      <c r="P20" s="159"/>
      <c r="Q20" s="159"/>
      <c r="R20" s="9"/>
      <c r="S20" s="96"/>
    </row>
    <row r="21" spans="2:19" x14ac:dyDescent="0.25">
      <c r="B21" s="95"/>
      <c r="C21" s="160" t="s">
        <v>206</v>
      </c>
      <c r="D21" s="161"/>
      <c r="E21" s="161"/>
      <c r="F21" s="161"/>
      <c r="G21" s="161"/>
      <c r="H21" s="161"/>
      <c r="I21" s="161"/>
      <c r="J21" s="9"/>
      <c r="K21" s="9"/>
      <c r="L21" s="9"/>
      <c r="M21" s="9"/>
      <c r="N21" s="9"/>
      <c r="O21" s="9"/>
      <c r="P21" s="9"/>
      <c r="Q21" s="9"/>
      <c r="R21" s="9"/>
      <c r="S21" s="96"/>
    </row>
    <row r="22" spans="2:19" x14ac:dyDescent="0.25">
      <c r="B22" s="95"/>
      <c r="C22" s="9"/>
      <c r="D22" s="9"/>
      <c r="E22" s="9"/>
      <c r="F22" s="9"/>
      <c r="G22" s="9"/>
      <c r="H22" s="9"/>
      <c r="I22" s="9"/>
      <c r="J22" s="9"/>
      <c r="K22" s="9"/>
      <c r="L22" s="9"/>
      <c r="M22" s="9"/>
      <c r="N22" s="9"/>
      <c r="O22" s="9"/>
      <c r="P22" s="9"/>
      <c r="Q22" s="9"/>
      <c r="R22" s="9"/>
      <c r="S22" s="96"/>
    </row>
    <row r="23" spans="2:19" ht="15" customHeight="1" x14ac:dyDescent="0.25">
      <c r="B23" s="95"/>
      <c r="C23" s="140">
        <f>COUNT(Diseño!Q6:Q17)</f>
        <v>0</v>
      </c>
      <c r="D23" s="141"/>
      <c r="E23" s="141"/>
      <c r="F23" s="141"/>
      <c r="G23" s="141"/>
      <c r="H23" s="141"/>
      <c r="I23" s="142"/>
      <c r="J23" s="9"/>
      <c r="K23" s="9"/>
      <c r="L23" s="9"/>
      <c r="M23" s="9"/>
      <c r="N23" s="9"/>
      <c r="O23" s="9"/>
      <c r="P23" s="9"/>
      <c r="Q23" s="9"/>
      <c r="R23" s="9"/>
      <c r="S23" s="96"/>
    </row>
    <row r="24" spans="2:19" ht="15" customHeight="1" x14ac:dyDescent="0.25">
      <c r="B24" s="95"/>
      <c r="C24" s="143"/>
      <c r="D24" s="112"/>
      <c r="E24" s="112"/>
      <c r="F24" s="112"/>
      <c r="G24" s="112"/>
      <c r="H24" s="112"/>
      <c r="I24" s="144"/>
      <c r="J24" s="9"/>
      <c r="K24" s="9"/>
      <c r="L24" s="9"/>
      <c r="M24" s="9"/>
      <c r="N24" s="9"/>
      <c r="O24" s="9"/>
      <c r="P24" s="9"/>
      <c r="Q24" s="9"/>
      <c r="R24" s="9"/>
      <c r="S24" s="96"/>
    </row>
    <row r="25" spans="2:19" ht="15" customHeight="1" x14ac:dyDescent="0.25">
      <c r="B25" s="95"/>
      <c r="C25" s="143"/>
      <c r="D25" s="112"/>
      <c r="E25" s="112"/>
      <c r="F25" s="112"/>
      <c r="G25" s="112"/>
      <c r="H25" s="112"/>
      <c r="I25" s="144"/>
      <c r="J25" s="9"/>
      <c r="K25" s="9"/>
      <c r="L25" s="9"/>
      <c r="M25" s="9"/>
      <c r="N25" s="9"/>
      <c r="O25" s="9"/>
      <c r="P25" s="9"/>
      <c r="Q25" s="9"/>
      <c r="R25" s="9"/>
      <c r="S25" s="96"/>
    </row>
    <row r="26" spans="2:19" ht="15" customHeight="1" x14ac:dyDescent="0.25">
      <c r="B26" s="95"/>
      <c r="C26" s="143"/>
      <c r="D26" s="112"/>
      <c r="E26" s="112"/>
      <c r="F26" s="112"/>
      <c r="G26" s="112"/>
      <c r="H26" s="112"/>
      <c r="I26" s="144"/>
      <c r="J26" s="9"/>
      <c r="K26" s="9"/>
      <c r="L26" s="9"/>
      <c r="M26" s="9"/>
      <c r="N26" s="9"/>
      <c r="O26" s="9"/>
      <c r="P26" s="9"/>
      <c r="Q26" s="9"/>
      <c r="R26" s="9"/>
      <c r="S26" s="96"/>
    </row>
    <row r="27" spans="2:19" ht="15" customHeight="1" x14ac:dyDescent="0.25">
      <c r="B27" s="95"/>
      <c r="C27" s="143"/>
      <c r="D27" s="112"/>
      <c r="E27" s="112"/>
      <c r="F27" s="112"/>
      <c r="G27" s="112"/>
      <c r="H27" s="112"/>
      <c r="I27" s="144"/>
      <c r="J27" s="9"/>
      <c r="K27" s="9"/>
      <c r="L27" s="9"/>
      <c r="M27" s="9"/>
      <c r="N27" s="9"/>
      <c r="O27" s="9"/>
      <c r="P27" s="9"/>
      <c r="Q27" s="9"/>
      <c r="R27" s="9"/>
      <c r="S27" s="96"/>
    </row>
    <row r="28" spans="2:19" ht="15" customHeight="1" x14ac:dyDescent="0.25">
      <c r="B28" s="95"/>
      <c r="C28" s="145"/>
      <c r="D28" s="146"/>
      <c r="E28" s="146"/>
      <c r="F28" s="146"/>
      <c r="G28" s="146"/>
      <c r="H28" s="146"/>
      <c r="I28" s="147"/>
      <c r="J28" s="9"/>
      <c r="K28" s="9"/>
      <c r="L28" s="9"/>
      <c r="M28" s="9"/>
      <c r="N28" s="9"/>
      <c r="O28" s="9"/>
      <c r="P28" s="9"/>
      <c r="Q28" s="9"/>
      <c r="R28" s="9"/>
      <c r="S28" s="96"/>
    </row>
    <row r="29" spans="2:19" x14ac:dyDescent="0.25">
      <c r="B29" s="98"/>
      <c r="C29" s="99"/>
      <c r="D29" s="99"/>
      <c r="E29" s="99"/>
      <c r="F29" s="99"/>
      <c r="G29" s="99"/>
      <c r="H29" s="99"/>
      <c r="I29" s="99"/>
      <c r="J29" s="99"/>
      <c r="K29" s="100"/>
      <c r="L29" s="100"/>
      <c r="M29" s="100"/>
      <c r="N29" s="100"/>
      <c r="O29" s="100"/>
      <c r="P29" s="100"/>
      <c r="Q29" s="100"/>
      <c r="R29" s="99"/>
      <c r="S29" s="101"/>
    </row>
    <row r="30" spans="2:19" x14ac:dyDescent="0.25"/>
    <row r="31" spans="2:19" x14ac:dyDescent="0.25"/>
    <row r="32" spans="2:19" x14ac:dyDescent="0.25"/>
  </sheetData>
  <mergeCells count="18">
    <mergeCell ref="C23:I28"/>
    <mergeCell ref="C13:F13"/>
    <mergeCell ref="C15:F19"/>
    <mergeCell ref="H13:K13"/>
    <mergeCell ref="H15:K19"/>
    <mergeCell ref="K20:Q20"/>
    <mergeCell ref="C21:I21"/>
    <mergeCell ref="M13:P13"/>
    <mergeCell ref="M15:P19"/>
    <mergeCell ref="C7:E11"/>
    <mergeCell ref="G7:I11"/>
    <mergeCell ref="K7:M11"/>
    <mergeCell ref="O7:Q11"/>
    <mergeCell ref="B2:G2"/>
    <mergeCell ref="C5:E5"/>
    <mergeCell ref="G5:I5"/>
    <mergeCell ref="K5:M5"/>
    <mergeCell ref="O5:Q5"/>
  </mergeCells>
  <conditionalFormatting sqref="G7:I11">
    <cfRule type="expression" dxfId="0" priority="3">
      <formula>IF($H$25&gt;$D$25,$H$25&gt;$D$2," ")</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8"/>
  <dimension ref="A1:P1047773"/>
  <sheetViews>
    <sheetView showGridLines="0" tabSelected="1" zoomScale="80" zoomScaleNormal="80" workbookViewId="0">
      <selection activeCell="I8" sqref="I8"/>
    </sheetView>
  </sheetViews>
  <sheetFormatPr defaultColWidth="0" defaultRowHeight="12.75" x14ac:dyDescent="0.2"/>
  <cols>
    <col min="1" max="1" width="11.42578125" style="56" customWidth="1"/>
    <col min="2" max="2" width="7.7109375" style="56" bestFit="1" customWidth="1"/>
    <col min="3" max="3" width="32.28515625" style="56" customWidth="1"/>
    <col min="4" max="4" width="60.140625" style="65" customWidth="1"/>
    <col min="5" max="5" width="19.5703125" style="64" bestFit="1" customWidth="1"/>
    <col min="6" max="6" width="25" style="64" customWidth="1"/>
    <col min="7" max="7" width="24.5703125" style="66" bestFit="1" customWidth="1"/>
    <col min="8" max="9" width="11.42578125" style="56" customWidth="1"/>
    <col min="10" max="10" width="11.42578125" style="56" hidden="1" customWidth="1"/>
    <col min="11" max="13" width="0" style="56" hidden="1" customWidth="1"/>
    <col min="14" max="16" width="0" style="56" hidden="1"/>
    <col min="17" max="16384" width="11.42578125" style="56" hidden="1"/>
  </cols>
  <sheetData>
    <row r="1" spans="2:12" x14ac:dyDescent="0.2">
      <c r="D1" s="57"/>
      <c r="E1" s="56"/>
      <c r="F1" s="56"/>
    </row>
    <row r="2" spans="2:12" x14ac:dyDescent="0.2">
      <c r="B2" s="163" t="s">
        <v>188</v>
      </c>
      <c r="C2" s="163"/>
      <c r="D2" s="66"/>
      <c r="E2" s="56"/>
      <c r="F2" s="56"/>
      <c r="G2" s="56"/>
    </row>
    <row r="3" spans="2:12" x14ac:dyDescent="0.2">
      <c r="D3" s="57"/>
      <c r="E3" s="56"/>
      <c r="F3" s="56"/>
      <c r="L3" s="56" t="s">
        <v>189</v>
      </c>
    </row>
    <row r="4" spans="2:12" ht="27.75" customHeight="1" x14ac:dyDescent="0.2">
      <c r="B4" s="302" t="s">
        <v>293</v>
      </c>
      <c r="C4" s="302"/>
      <c r="D4" s="302"/>
      <c r="E4" s="302"/>
      <c r="F4" s="302"/>
      <c r="G4" s="302"/>
    </row>
    <row r="5" spans="2:12" x14ac:dyDescent="0.2">
      <c r="B5" s="298"/>
      <c r="C5" s="298"/>
      <c r="D5" s="298"/>
      <c r="E5" s="298"/>
      <c r="F5" s="298"/>
      <c r="G5" s="298"/>
    </row>
    <row r="6" spans="2:12" ht="20.25" customHeight="1" x14ac:dyDescent="0.2">
      <c r="D6" s="58" t="s">
        <v>190</v>
      </c>
      <c r="E6" s="293" t="s">
        <v>218</v>
      </c>
      <c r="F6" s="164"/>
    </row>
    <row r="7" spans="2:12" x14ac:dyDescent="0.2">
      <c r="D7" s="57"/>
      <c r="E7" s="67"/>
      <c r="F7" s="59">
        <v>0</v>
      </c>
    </row>
    <row r="8" spans="2:12" ht="15" customHeight="1" x14ac:dyDescent="0.2">
      <c r="B8" s="294" t="s">
        <v>217</v>
      </c>
      <c r="C8" s="294"/>
      <c r="D8" s="294"/>
      <c r="E8" s="56"/>
      <c r="F8" s="60">
        <v>0</v>
      </c>
    </row>
    <row r="9" spans="2:12" ht="19.5" customHeight="1" x14ac:dyDescent="0.2">
      <c r="B9" s="165" t="s">
        <v>89</v>
      </c>
      <c r="C9" s="167" t="s">
        <v>221</v>
      </c>
      <c r="D9" s="167" t="s">
        <v>231</v>
      </c>
      <c r="E9" s="165" t="s">
        <v>222</v>
      </c>
      <c r="F9" s="162" t="s">
        <v>191</v>
      </c>
      <c r="G9" s="167" t="s">
        <v>223</v>
      </c>
    </row>
    <row r="10" spans="2:12" ht="15.75" customHeight="1" x14ac:dyDescent="0.2">
      <c r="B10" s="166"/>
      <c r="C10" s="167"/>
      <c r="D10" s="167"/>
      <c r="E10" s="166"/>
      <c r="F10" s="162"/>
      <c r="G10" s="167"/>
    </row>
    <row r="11" spans="2:12" s="62" customFormat="1" ht="21.75" customHeight="1" x14ac:dyDescent="0.2">
      <c r="B11" s="61" t="s">
        <v>219</v>
      </c>
      <c r="C11" s="295" t="s">
        <v>227</v>
      </c>
      <c r="D11" s="295" t="s">
        <v>224</v>
      </c>
      <c r="E11" s="106" t="s">
        <v>264</v>
      </c>
      <c r="F11" s="296"/>
      <c r="G11" s="297"/>
    </row>
    <row r="12" spans="2:12" s="62" customFormat="1" ht="45" x14ac:dyDescent="0.2">
      <c r="B12" s="61" t="s">
        <v>220</v>
      </c>
      <c r="C12" s="295" t="s">
        <v>227</v>
      </c>
      <c r="D12" s="295" t="s">
        <v>225</v>
      </c>
      <c r="E12" s="106" t="s">
        <v>265</v>
      </c>
      <c r="F12" s="107" t="s">
        <v>232</v>
      </c>
      <c r="G12" s="106"/>
    </row>
    <row r="13" spans="2:12" s="62" customFormat="1" ht="25.5" x14ac:dyDescent="0.2">
      <c r="B13" s="61" t="s">
        <v>243</v>
      </c>
      <c r="C13" s="295" t="s">
        <v>227</v>
      </c>
      <c r="D13" s="295" t="s">
        <v>226</v>
      </c>
      <c r="E13" s="106" t="s">
        <v>265</v>
      </c>
      <c r="F13" s="107"/>
      <c r="G13" s="106"/>
    </row>
    <row r="14" spans="2:12" s="62" customFormat="1" ht="25.5" x14ac:dyDescent="0.2">
      <c r="B14" s="61" t="s">
        <v>244</v>
      </c>
      <c r="C14" s="295" t="s">
        <v>228</v>
      </c>
      <c r="D14" s="295" t="s">
        <v>229</v>
      </c>
      <c r="E14" s="106" t="s">
        <v>264</v>
      </c>
      <c r="F14" s="107"/>
      <c r="G14" s="106"/>
    </row>
    <row r="15" spans="2:12" s="62" customFormat="1" ht="45" x14ac:dyDescent="0.2">
      <c r="B15" s="61" t="s">
        <v>245</v>
      </c>
      <c r="C15" s="295" t="s">
        <v>228</v>
      </c>
      <c r="D15" s="295" t="s">
        <v>230</v>
      </c>
      <c r="E15" s="106" t="s">
        <v>265</v>
      </c>
      <c r="F15" s="107" t="s">
        <v>233</v>
      </c>
      <c r="G15" s="106"/>
    </row>
    <row r="16" spans="2:12" s="62" customFormat="1" ht="25.5" x14ac:dyDescent="0.2">
      <c r="B16" s="61" t="s">
        <v>246</v>
      </c>
      <c r="C16" s="295" t="s">
        <v>228</v>
      </c>
      <c r="D16" s="295" t="s">
        <v>234</v>
      </c>
      <c r="E16" s="106" t="s">
        <v>265</v>
      </c>
      <c r="F16" s="107"/>
      <c r="G16" s="106"/>
    </row>
    <row r="17" spans="2:7" s="62" customFormat="1" ht="30" x14ac:dyDescent="0.2">
      <c r="B17" s="61" t="s">
        <v>247</v>
      </c>
      <c r="C17" s="295" t="s">
        <v>242</v>
      </c>
      <c r="D17" s="295" t="s">
        <v>237</v>
      </c>
      <c r="E17" s="106" t="s">
        <v>264</v>
      </c>
      <c r="F17" s="107" t="s">
        <v>238</v>
      </c>
      <c r="G17" s="106"/>
    </row>
    <row r="18" spans="2:7" s="62" customFormat="1" ht="60" x14ac:dyDescent="0.2">
      <c r="B18" s="61" t="s">
        <v>248</v>
      </c>
      <c r="C18" s="295" t="s">
        <v>242</v>
      </c>
      <c r="D18" s="295" t="s">
        <v>235</v>
      </c>
      <c r="E18" s="106" t="s">
        <v>265</v>
      </c>
      <c r="F18" s="107" t="s">
        <v>239</v>
      </c>
      <c r="G18" s="106"/>
    </row>
    <row r="19" spans="2:7" s="62" customFormat="1" ht="30" x14ac:dyDescent="0.2">
      <c r="B19" s="61" t="s">
        <v>249</v>
      </c>
      <c r="C19" s="295" t="s">
        <v>242</v>
      </c>
      <c r="D19" s="295" t="s">
        <v>236</v>
      </c>
      <c r="E19" s="106" t="s">
        <v>265</v>
      </c>
      <c r="F19" s="107" t="s">
        <v>240</v>
      </c>
      <c r="G19" s="106"/>
    </row>
    <row r="20" spans="2:7" s="62" customFormat="1" ht="25.5" x14ac:dyDescent="0.2">
      <c r="B20" s="61" t="s">
        <v>250</v>
      </c>
      <c r="C20" s="295" t="s">
        <v>242</v>
      </c>
      <c r="D20" s="295" t="s">
        <v>241</v>
      </c>
      <c r="E20" s="106" t="s">
        <v>266</v>
      </c>
      <c r="F20" s="107"/>
      <c r="G20" s="106"/>
    </row>
    <row r="21" spans="2:7" s="62" customFormat="1" ht="45" x14ac:dyDescent="0.2">
      <c r="B21" s="61" t="s">
        <v>258</v>
      </c>
      <c r="C21" s="295" t="s">
        <v>255</v>
      </c>
      <c r="D21" s="295" t="s">
        <v>252</v>
      </c>
      <c r="E21" s="106" t="s">
        <v>264</v>
      </c>
      <c r="F21" s="107" t="s">
        <v>253</v>
      </c>
      <c r="G21" s="106"/>
    </row>
    <row r="22" spans="2:7" s="62" customFormat="1" ht="25.5" x14ac:dyDescent="0.2">
      <c r="B22" s="61" t="s">
        <v>259</v>
      </c>
      <c r="C22" s="295" t="s">
        <v>255</v>
      </c>
      <c r="D22" s="295" t="s">
        <v>254</v>
      </c>
      <c r="E22" s="106" t="s">
        <v>264</v>
      </c>
      <c r="F22" s="107"/>
      <c r="G22" s="106"/>
    </row>
    <row r="23" spans="2:7" s="62" customFormat="1" ht="15" x14ac:dyDescent="0.2">
      <c r="B23" s="61" t="s">
        <v>260</v>
      </c>
      <c r="C23" s="295" t="s">
        <v>255</v>
      </c>
      <c r="D23" s="295" t="s">
        <v>251</v>
      </c>
      <c r="E23" s="106" t="s">
        <v>265</v>
      </c>
      <c r="F23" s="107"/>
      <c r="G23" s="106"/>
    </row>
    <row r="24" spans="2:7" s="62" customFormat="1" ht="45" x14ac:dyDescent="0.2">
      <c r="B24" s="61" t="s">
        <v>261</v>
      </c>
      <c r="C24" s="295" t="s">
        <v>256</v>
      </c>
      <c r="D24" s="295" t="s">
        <v>263</v>
      </c>
      <c r="E24" s="106" t="s">
        <v>264</v>
      </c>
      <c r="F24" s="107" t="s">
        <v>253</v>
      </c>
      <c r="G24" s="106"/>
    </row>
    <row r="25" spans="2:7" s="62" customFormat="1" ht="45" x14ac:dyDescent="0.2">
      <c r="B25" s="61" t="s">
        <v>262</v>
      </c>
      <c r="C25" s="295" t="s">
        <v>256</v>
      </c>
      <c r="D25" s="295" t="s">
        <v>257</v>
      </c>
      <c r="E25" s="106" t="s">
        <v>264</v>
      </c>
      <c r="F25" s="107" t="s">
        <v>253</v>
      </c>
      <c r="G25" s="106"/>
    </row>
    <row r="26" spans="2:7" s="62" customFormat="1" ht="25.5" x14ac:dyDescent="0.2">
      <c r="B26" s="61" t="s">
        <v>271</v>
      </c>
      <c r="C26" s="295" t="s">
        <v>270</v>
      </c>
      <c r="D26" s="295" t="s">
        <v>268</v>
      </c>
      <c r="E26" s="106"/>
      <c r="F26" s="107"/>
      <c r="G26" s="106"/>
    </row>
    <row r="27" spans="2:7" s="62" customFormat="1" ht="25.5" x14ac:dyDescent="0.2">
      <c r="B27" s="61" t="s">
        <v>272</v>
      </c>
      <c r="C27" s="295" t="s">
        <v>270</v>
      </c>
      <c r="D27" s="295" t="s">
        <v>269</v>
      </c>
      <c r="E27" s="106"/>
      <c r="F27" s="107"/>
      <c r="G27" s="106"/>
    </row>
    <row r="28" spans="2:7" s="62" customFormat="1" ht="15" x14ac:dyDescent="0.2">
      <c r="B28" s="61"/>
      <c r="C28" s="295"/>
      <c r="D28" s="295"/>
      <c r="E28" s="106"/>
      <c r="F28" s="107"/>
      <c r="G28" s="106"/>
    </row>
    <row r="29" spans="2:7" s="62" customFormat="1" ht="15" x14ac:dyDescent="0.2">
      <c r="B29" s="61"/>
      <c r="C29" s="295"/>
      <c r="D29" s="295"/>
      <c r="E29" s="106"/>
      <c r="F29" s="107"/>
      <c r="G29" s="106"/>
    </row>
    <row r="30" spans="2:7" s="62" customFormat="1" ht="15" x14ac:dyDescent="0.2">
      <c r="B30" s="61"/>
      <c r="C30" s="61"/>
      <c r="D30" s="295"/>
      <c r="E30" s="106"/>
      <c r="F30" s="107"/>
      <c r="G30" s="106"/>
    </row>
    <row r="31" spans="2:7" s="62" customFormat="1" ht="15" x14ac:dyDescent="0.2">
      <c r="B31" s="61"/>
      <c r="C31" s="61"/>
      <c r="D31" s="295"/>
      <c r="E31" s="106"/>
      <c r="F31" s="107"/>
      <c r="G31" s="106"/>
    </row>
    <row r="32" spans="2:7" s="62" customFormat="1" ht="15" x14ac:dyDescent="0.2">
      <c r="B32" s="61"/>
      <c r="C32" s="61"/>
      <c r="D32" s="295"/>
      <c r="E32" s="106"/>
      <c r="F32" s="107"/>
      <c r="G32" s="106"/>
    </row>
    <row r="33" spans="2:7" s="62" customFormat="1" ht="15" x14ac:dyDescent="0.2">
      <c r="B33" s="61"/>
      <c r="C33" s="61"/>
      <c r="D33" s="295"/>
      <c r="E33" s="106"/>
      <c r="F33" s="107"/>
      <c r="G33" s="106"/>
    </row>
    <row r="34" spans="2:7" s="62" customFormat="1" ht="15" x14ac:dyDescent="0.2">
      <c r="B34" s="61"/>
      <c r="C34" s="61"/>
      <c r="D34" s="295"/>
      <c r="E34" s="106"/>
      <c r="F34" s="107"/>
      <c r="G34" s="106"/>
    </row>
    <row r="35" spans="2:7" s="62" customFormat="1" ht="15" x14ac:dyDescent="0.2">
      <c r="B35" s="61"/>
      <c r="C35" s="61"/>
      <c r="D35" s="295"/>
      <c r="E35" s="63"/>
      <c r="F35" s="107"/>
      <c r="G35" s="106"/>
    </row>
    <row r="1047773" spans="1:13" s="64" customFormat="1" x14ac:dyDescent="0.2">
      <c r="A1047773" s="56"/>
      <c r="B1047773" s="56"/>
      <c r="C1047773" s="56"/>
      <c r="D1047773" s="65"/>
      <c r="E1047773" s="63"/>
      <c r="G1047773" s="66"/>
      <c r="H1047773" s="56"/>
      <c r="I1047773" s="56"/>
      <c r="J1047773" s="56"/>
      <c r="K1047773" s="56"/>
      <c r="L1047773" s="56"/>
      <c r="M1047773" s="56"/>
    </row>
  </sheetData>
  <sheetProtection selectLockedCells="1"/>
  <autoFilter ref="B9:G10" xr:uid="{00000000-0009-0000-0000-000001000000}"/>
  <mergeCells count="10">
    <mergeCell ref="G9:G10"/>
    <mergeCell ref="B2:C2"/>
    <mergeCell ref="E6:F6"/>
    <mergeCell ref="B8:D8"/>
    <mergeCell ref="B9:B10"/>
    <mergeCell ref="D9:D10"/>
    <mergeCell ref="E9:E10"/>
    <mergeCell ref="F9:F10"/>
    <mergeCell ref="C9:C10"/>
    <mergeCell ref="B4:G4"/>
  </mergeCells>
  <phoneticPr fontId="35" type="noConversion"/>
  <dataValidations disablePrompts="1" count="1">
    <dataValidation type="list" allowBlank="1" showInputMessage="1" showErrorMessage="1" sqref="E1047773:E1048576" xr:uid="{00000000-0002-0000-0100-000000000000}">
      <formula1>$L$3:$L$3</formula1>
    </dataValidation>
  </dataValidations>
  <hyperlinks>
    <hyperlink ref="E6" r:id="rId1" xr:uid="{59BB9C34-0508-4D37-8518-C29B4C93B9EC}"/>
  </hyperlinks>
  <pageMargins left="0.7" right="0.7" top="0.75" bottom="0.75" header="0.3" footer="0.3"/>
  <pageSetup scale="70"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2:Z17"/>
  <sheetViews>
    <sheetView showGridLines="0" workbookViewId="0">
      <selection activeCell="A9" sqref="A9"/>
    </sheetView>
  </sheetViews>
  <sheetFormatPr defaultColWidth="11.42578125" defaultRowHeight="15" x14ac:dyDescent="0.25"/>
  <cols>
    <col min="1" max="1" width="7.28515625" customWidth="1"/>
    <col min="2" max="2" width="7" bestFit="1" customWidth="1"/>
    <col min="3" max="3" width="9.85546875" customWidth="1"/>
    <col min="4" max="5" width="14.140625" customWidth="1"/>
    <col min="6" max="6" width="38.42578125" customWidth="1"/>
    <col min="7" max="8" width="36.42578125" customWidth="1"/>
    <col min="9" max="9" width="38.140625" customWidth="1"/>
    <col min="10" max="10" width="18.85546875" customWidth="1"/>
    <col min="11" max="11" width="19.85546875" customWidth="1"/>
    <col min="12" max="12" width="10.28515625" customWidth="1"/>
    <col min="13" max="13" width="8.85546875" customWidth="1"/>
    <col min="14" max="17" width="11.42578125" hidden="1" customWidth="1"/>
    <col min="18" max="18" width="14.5703125" hidden="1" customWidth="1"/>
    <col min="19" max="20" width="11.42578125" hidden="1" customWidth="1"/>
    <col min="21" max="21" width="14.5703125" hidden="1" customWidth="1"/>
    <col min="22" max="23" width="11.42578125" hidden="1" customWidth="1"/>
    <col min="24" max="24" width="16.28515625" hidden="1" customWidth="1"/>
  </cols>
  <sheetData>
    <row r="2" spans="2:24" x14ac:dyDescent="0.25">
      <c r="B2" s="299" t="s">
        <v>190</v>
      </c>
      <c r="C2" s="299"/>
      <c r="D2" s="299"/>
      <c r="E2" s="299"/>
      <c r="F2" s="300" t="s">
        <v>218</v>
      </c>
    </row>
    <row r="4" spans="2:24" x14ac:dyDescent="0.25">
      <c r="P4" s="168" t="s">
        <v>214</v>
      </c>
      <c r="Q4" s="169"/>
      <c r="R4" s="170"/>
      <c r="S4" s="168" t="s">
        <v>215</v>
      </c>
      <c r="T4" s="169"/>
      <c r="U4" s="170"/>
      <c r="V4" s="168" t="s">
        <v>216</v>
      </c>
      <c r="W4" s="169"/>
      <c r="X4" s="170"/>
    </row>
    <row r="5" spans="2:24" ht="27" customHeight="1" x14ac:dyDescent="0.25">
      <c r="B5" s="78" t="s">
        <v>194</v>
      </c>
      <c r="C5" s="78" t="s">
        <v>273</v>
      </c>
      <c r="D5" s="79" t="s">
        <v>267</v>
      </c>
      <c r="E5" s="79" t="s">
        <v>274</v>
      </c>
      <c r="F5" s="78" t="s">
        <v>195</v>
      </c>
      <c r="G5" s="168" t="s">
        <v>278</v>
      </c>
      <c r="H5" s="170"/>
      <c r="I5" s="90" t="s">
        <v>279</v>
      </c>
      <c r="J5" s="90" t="s">
        <v>275</v>
      </c>
      <c r="K5" s="90" t="s">
        <v>276</v>
      </c>
      <c r="L5" s="90" t="s">
        <v>203</v>
      </c>
      <c r="M5" s="90" t="s">
        <v>196</v>
      </c>
      <c r="N5" s="90" t="s">
        <v>197</v>
      </c>
      <c r="O5" s="90" t="s">
        <v>198</v>
      </c>
      <c r="P5" s="90" t="s">
        <v>200</v>
      </c>
      <c r="Q5" s="90" t="s">
        <v>212</v>
      </c>
      <c r="R5" s="90" t="s">
        <v>0</v>
      </c>
      <c r="S5" s="90" t="s">
        <v>200</v>
      </c>
      <c r="T5" s="90" t="s">
        <v>212</v>
      </c>
      <c r="U5" s="90" t="s">
        <v>0</v>
      </c>
      <c r="V5" s="90" t="s">
        <v>200</v>
      </c>
      <c r="W5" s="90" t="s">
        <v>212</v>
      </c>
      <c r="X5" s="90" t="s">
        <v>0</v>
      </c>
    </row>
    <row r="6" spans="2:24" ht="120" x14ac:dyDescent="0.25">
      <c r="B6" s="82"/>
      <c r="C6" s="82" t="s">
        <v>245</v>
      </c>
      <c r="D6" s="83" t="s">
        <v>4</v>
      </c>
      <c r="E6" s="83"/>
      <c r="F6" s="301" t="s">
        <v>230</v>
      </c>
      <c r="G6" s="84" t="s">
        <v>277</v>
      </c>
      <c r="H6" s="84" t="s">
        <v>280</v>
      </c>
      <c r="I6" s="84" t="s">
        <v>281</v>
      </c>
      <c r="J6" s="84" t="s">
        <v>291</v>
      </c>
      <c r="K6" s="84" t="s">
        <v>292</v>
      </c>
      <c r="L6" s="85"/>
      <c r="M6" s="86"/>
      <c r="N6" s="87"/>
      <c r="O6" s="88"/>
      <c r="P6" s="86" t="s">
        <v>201</v>
      </c>
      <c r="Q6" s="89"/>
      <c r="R6" s="86"/>
      <c r="S6" s="86" t="s">
        <v>201</v>
      </c>
      <c r="T6" s="89"/>
      <c r="U6" s="86"/>
      <c r="V6" s="86" t="s">
        <v>201</v>
      </c>
      <c r="W6" s="89"/>
      <c r="X6" s="86"/>
    </row>
    <row r="7" spans="2:24" ht="48" x14ac:dyDescent="0.25">
      <c r="B7" s="69"/>
      <c r="C7" s="69" t="s">
        <v>249</v>
      </c>
      <c r="D7" s="70" t="s">
        <v>4</v>
      </c>
      <c r="E7" s="70"/>
      <c r="F7" s="301" t="s">
        <v>282</v>
      </c>
      <c r="G7" s="84" t="s">
        <v>283</v>
      </c>
      <c r="H7" s="71" t="s">
        <v>284</v>
      </c>
      <c r="I7" s="84" t="s">
        <v>285</v>
      </c>
      <c r="J7" s="84" t="s">
        <v>291</v>
      </c>
      <c r="K7" s="84" t="s">
        <v>291</v>
      </c>
      <c r="L7" s="46"/>
      <c r="M7" s="72"/>
      <c r="N7" s="75"/>
      <c r="O7" s="76"/>
      <c r="P7" s="72" t="s">
        <v>202</v>
      </c>
      <c r="Q7" s="80"/>
      <c r="R7" s="72"/>
      <c r="S7" s="72" t="s">
        <v>202</v>
      </c>
      <c r="T7" s="80"/>
      <c r="U7" s="72"/>
      <c r="V7" s="72" t="s">
        <v>202</v>
      </c>
      <c r="W7" s="80"/>
      <c r="X7" s="72"/>
    </row>
    <row r="8" spans="2:24" ht="60" x14ac:dyDescent="0.25">
      <c r="B8" s="69"/>
      <c r="C8" s="69" t="s">
        <v>286</v>
      </c>
      <c r="D8" s="70" t="s">
        <v>289</v>
      </c>
      <c r="E8" s="70"/>
      <c r="F8" s="301" t="s">
        <v>241</v>
      </c>
      <c r="G8" s="84" t="s">
        <v>287</v>
      </c>
      <c r="H8" s="71" t="s">
        <v>288</v>
      </c>
      <c r="I8" s="84" t="s">
        <v>290</v>
      </c>
      <c r="J8" s="84" t="s">
        <v>292</v>
      </c>
      <c r="K8" s="84" t="s">
        <v>291</v>
      </c>
      <c r="L8" s="46"/>
      <c r="M8" s="72"/>
      <c r="N8" s="75"/>
      <c r="O8" s="76"/>
      <c r="P8" s="72"/>
      <c r="Q8" s="80"/>
      <c r="R8" s="72"/>
      <c r="S8" s="72"/>
      <c r="T8" s="80"/>
      <c r="U8" s="72"/>
      <c r="V8" s="72"/>
      <c r="W8" s="80"/>
      <c r="X8" s="72"/>
    </row>
    <row r="9" spans="2:24" x14ac:dyDescent="0.25">
      <c r="B9" s="69"/>
      <c r="C9" s="69"/>
      <c r="D9" s="70"/>
      <c r="E9" s="70"/>
      <c r="F9" s="69"/>
      <c r="G9" s="71"/>
      <c r="H9" s="71"/>
      <c r="I9" s="84"/>
      <c r="J9" s="84"/>
      <c r="K9" s="84"/>
      <c r="L9" s="46"/>
      <c r="M9" s="72"/>
      <c r="N9" s="75"/>
      <c r="O9" s="76"/>
      <c r="P9" s="72"/>
      <c r="Q9" s="80"/>
      <c r="R9" s="72"/>
      <c r="S9" s="72"/>
      <c r="T9" s="80"/>
      <c r="U9" s="72"/>
      <c r="V9" s="72"/>
      <c r="W9" s="80"/>
      <c r="X9" s="72"/>
    </row>
    <row r="10" spans="2:24" x14ac:dyDescent="0.25">
      <c r="B10" s="69"/>
      <c r="C10" s="69"/>
      <c r="D10" s="70"/>
      <c r="E10" s="70"/>
      <c r="F10" s="69"/>
      <c r="G10" s="71"/>
      <c r="H10" s="71"/>
      <c r="I10" s="84"/>
      <c r="J10" s="84"/>
      <c r="K10" s="84"/>
      <c r="L10" s="46"/>
      <c r="M10" s="72"/>
      <c r="N10" s="75"/>
      <c r="O10" s="76"/>
      <c r="P10" s="72"/>
      <c r="Q10" s="80"/>
      <c r="R10" s="72"/>
      <c r="S10" s="72"/>
      <c r="T10" s="80"/>
      <c r="U10" s="72"/>
      <c r="V10" s="72"/>
      <c r="W10" s="80"/>
      <c r="X10" s="72"/>
    </row>
    <row r="11" spans="2:24" x14ac:dyDescent="0.25">
      <c r="B11" s="69"/>
      <c r="C11" s="69"/>
      <c r="D11" s="70"/>
      <c r="E11" s="70"/>
      <c r="F11" s="69"/>
      <c r="G11" s="71"/>
      <c r="H11" s="71"/>
      <c r="I11" s="84"/>
      <c r="J11" s="84"/>
      <c r="K11" s="84"/>
      <c r="L11" s="46"/>
      <c r="M11" s="72"/>
      <c r="N11" s="75"/>
      <c r="O11" s="76"/>
      <c r="P11" s="72"/>
      <c r="Q11" s="80"/>
      <c r="R11" s="72"/>
      <c r="S11" s="72"/>
      <c r="T11" s="80"/>
      <c r="U11" s="72"/>
      <c r="V11" s="72"/>
      <c r="W11" s="80"/>
      <c r="X11" s="72"/>
    </row>
    <row r="12" spans="2:24" x14ac:dyDescent="0.25">
      <c r="B12" s="69"/>
      <c r="C12" s="69"/>
      <c r="D12" s="70"/>
      <c r="E12" s="70"/>
      <c r="F12" s="69"/>
      <c r="G12" s="71"/>
      <c r="H12" s="71"/>
      <c r="I12" s="84"/>
      <c r="J12" s="84"/>
      <c r="K12" s="84"/>
      <c r="L12" s="46"/>
      <c r="M12" s="72"/>
      <c r="N12" s="75"/>
      <c r="O12" s="76"/>
      <c r="P12" s="72"/>
      <c r="Q12" s="80"/>
      <c r="R12" s="72"/>
      <c r="S12" s="72"/>
      <c r="T12" s="80"/>
      <c r="U12" s="72"/>
      <c r="V12" s="72"/>
      <c r="W12" s="80"/>
      <c r="X12" s="72"/>
    </row>
    <row r="13" spans="2:24" ht="22.5" customHeight="1" x14ac:dyDescent="0.25">
      <c r="B13" s="69"/>
      <c r="C13" s="69"/>
      <c r="D13" s="70"/>
      <c r="E13" s="70"/>
      <c r="F13" s="69"/>
      <c r="G13" s="71"/>
      <c r="H13" s="71"/>
      <c r="I13" s="84"/>
      <c r="J13" s="84"/>
      <c r="K13" s="84"/>
      <c r="L13" s="46"/>
      <c r="M13" s="72"/>
      <c r="N13" s="75"/>
      <c r="O13" s="76"/>
      <c r="P13" s="72"/>
      <c r="Q13" s="80"/>
      <c r="R13" s="72"/>
      <c r="S13" s="72"/>
      <c r="T13" s="80"/>
      <c r="U13" s="72"/>
      <c r="V13" s="72"/>
      <c r="W13" s="80"/>
      <c r="X13" s="72"/>
    </row>
    <row r="14" spans="2:24" x14ac:dyDescent="0.25">
      <c r="B14" s="68"/>
      <c r="C14" s="68"/>
      <c r="D14" s="70"/>
      <c r="E14" s="70"/>
      <c r="F14" s="69"/>
      <c r="G14" s="71"/>
      <c r="H14" s="71"/>
      <c r="I14" s="84"/>
      <c r="J14" s="84"/>
      <c r="K14" s="84"/>
      <c r="L14" s="46"/>
      <c r="M14" s="71"/>
      <c r="N14" s="77"/>
      <c r="O14" s="76"/>
      <c r="P14" s="71"/>
      <c r="Q14" s="81"/>
      <c r="R14" s="71"/>
      <c r="S14" s="71"/>
      <c r="T14" s="81"/>
      <c r="U14" s="71"/>
      <c r="V14" s="71"/>
      <c r="W14" s="81"/>
      <c r="X14" s="71"/>
    </row>
    <row r="15" spans="2:24" x14ac:dyDescent="0.25">
      <c r="B15" s="68"/>
      <c r="C15" s="68"/>
      <c r="D15" s="70"/>
      <c r="E15" s="70"/>
      <c r="F15" s="69"/>
      <c r="G15" s="71"/>
      <c r="H15" s="71"/>
      <c r="I15" s="84"/>
      <c r="J15" s="84"/>
      <c r="K15" s="84"/>
      <c r="L15" s="46"/>
      <c r="M15" s="71"/>
      <c r="N15" s="77"/>
      <c r="O15" s="76"/>
      <c r="P15" s="71"/>
      <c r="Q15" s="81"/>
      <c r="R15" s="71"/>
      <c r="S15" s="71"/>
      <c r="T15" s="81"/>
      <c r="U15" s="71"/>
      <c r="V15" s="71"/>
      <c r="W15" s="81"/>
      <c r="X15" s="71"/>
    </row>
    <row r="16" spans="2:24" x14ac:dyDescent="0.25">
      <c r="B16" s="68"/>
      <c r="C16" s="68"/>
      <c r="D16" s="70"/>
      <c r="E16" s="70"/>
      <c r="F16" s="69"/>
      <c r="G16" s="71"/>
      <c r="H16" s="71"/>
      <c r="I16" s="84"/>
      <c r="J16" s="84"/>
      <c r="K16" s="84"/>
      <c r="L16" s="46"/>
      <c r="M16" s="71"/>
      <c r="N16" s="77"/>
      <c r="O16" s="76"/>
      <c r="P16" s="71"/>
      <c r="Q16" s="81"/>
      <c r="R16" s="71"/>
      <c r="S16" s="71"/>
      <c r="T16" s="81"/>
      <c r="U16" s="71"/>
      <c r="V16" s="71"/>
      <c r="W16" s="81"/>
      <c r="X16" s="71"/>
    </row>
    <row r="17" spans="2:24" x14ac:dyDescent="0.25">
      <c r="B17" s="68"/>
      <c r="C17" s="68"/>
      <c r="D17" s="70"/>
      <c r="E17" s="70"/>
      <c r="F17" s="69"/>
      <c r="G17" s="71"/>
      <c r="H17" s="71"/>
      <c r="I17" s="84"/>
      <c r="J17" s="84"/>
      <c r="K17" s="84"/>
      <c r="L17" s="46"/>
      <c r="M17" s="71"/>
      <c r="N17" s="77"/>
      <c r="O17" s="76"/>
      <c r="P17" s="71"/>
      <c r="Q17" s="81"/>
      <c r="R17" s="71"/>
      <c r="S17" s="71"/>
      <c r="T17" s="81"/>
      <c r="U17" s="71"/>
      <c r="V17" s="71"/>
      <c r="W17" s="81"/>
      <c r="X17" s="71"/>
    </row>
  </sheetData>
  <mergeCells count="5">
    <mergeCell ref="G5:H5"/>
    <mergeCell ref="V4:X4"/>
    <mergeCell ref="P4:R4"/>
    <mergeCell ref="S4:U4"/>
    <mergeCell ref="B2:E2"/>
  </mergeCells>
  <phoneticPr fontId="35" type="noConversion"/>
  <hyperlinks>
    <hyperlink ref="F2" r:id="rId1" xr:uid="{4C2A5214-F8A2-4DC3-B6DD-92651083FD6C}"/>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400-000000000000}">
          <x14:formula1>
            <xm:f>Listas!$L$2:$L$3</xm:f>
          </x14:formula1>
          <xm:sqref>P6:P17 S6:S17 V6:V17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tabColor theme="7" tint="-0.249977111117893"/>
  </sheetPr>
  <dimension ref="B6:E47"/>
  <sheetViews>
    <sheetView showGridLines="0" zoomScale="90" zoomScaleNormal="90" workbookViewId="0">
      <selection activeCell="E33" sqref="E33"/>
    </sheetView>
  </sheetViews>
  <sheetFormatPr defaultColWidth="11.42578125" defaultRowHeight="15" x14ac:dyDescent="0.25"/>
  <cols>
    <col min="1" max="1" width="2.85546875" customWidth="1"/>
    <col min="2" max="2" width="85" customWidth="1"/>
    <col min="3" max="3" width="19.85546875" customWidth="1"/>
    <col min="4" max="4" width="17.28515625" style="3" customWidth="1"/>
    <col min="5" max="5" width="11" customWidth="1"/>
    <col min="6" max="6" width="17.28515625" bestFit="1" customWidth="1"/>
    <col min="7" max="8" width="5.5703125" customWidth="1"/>
    <col min="9" max="9" width="11" customWidth="1"/>
    <col min="10" max="10" width="24.85546875" bestFit="1" customWidth="1"/>
    <col min="11" max="11" width="22.28515625" bestFit="1" customWidth="1"/>
  </cols>
  <sheetData>
    <row r="6" spans="2:5" x14ac:dyDescent="0.25">
      <c r="B6" s="173" t="s">
        <v>106</v>
      </c>
      <c r="C6" s="173"/>
      <c r="D6" s="173"/>
    </row>
    <row r="7" spans="2:5" x14ac:dyDescent="0.25">
      <c r="B7" s="9"/>
      <c r="C7" s="9"/>
      <c r="D7" s="45"/>
    </row>
    <row r="8" spans="2:5" x14ac:dyDescent="0.25">
      <c r="B8" s="9"/>
      <c r="C8" s="174" t="s">
        <v>79</v>
      </c>
      <c r="D8" s="174"/>
    </row>
    <row r="9" spans="2:5" x14ac:dyDescent="0.25">
      <c r="B9" s="9"/>
      <c r="C9" s="174" t="s">
        <v>84</v>
      </c>
      <c r="D9" s="174"/>
    </row>
    <row r="10" spans="2:5" x14ac:dyDescent="0.25">
      <c r="B10" s="47" t="s">
        <v>81</v>
      </c>
      <c r="C10" s="172" t="e">
        <f>SUM(#REF!)</f>
        <v>#REF!</v>
      </c>
      <c r="D10" s="172"/>
    </row>
    <row r="11" spans="2:5" x14ac:dyDescent="0.25">
      <c r="B11" s="47" t="s">
        <v>82</v>
      </c>
      <c r="C11" s="171">
        <f>SUM(C14:C37)</f>
        <v>0.25</v>
      </c>
      <c r="D11" s="172"/>
      <c r="E11" s="55"/>
    </row>
    <row r="12" spans="2:5" x14ac:dyDescent="0.25">
      <c r="B12" s="47" t="s">
        <v>83</v>
      </c>
      <c r="C12" s="172" t="e">
        <f>SUM(D14:D37)</f>
        <v>#REF!</v>
      </c>
      <c r="D12" s="172"/>
    </row>
    <row r="13" spans="2:5" s="1" customFormat="1" x14ac:dyDescent="0.25">
      <c r="B13" s="48" t="s">
        <v>51</v>
      </c>
      <c r="C13" s="49" t="s">
        <v>80</v>
      </c>
      <c r="D13" s="44" t="s">
        <v>148</v>
      </c>
    </row>
    <row r="14" spans="2:5" x14ac:dyDescent="0.25">
      <c r="B14" s="50" t="s">
        <v>40</v>
      </c>
      <c r="C14" s="51">
        <v>0.05</v>
      </c>
      <c r="D14" s="19" t="e">
        <f t="shared" ref="D14:D37" si="0">IF(ROUNDUP(($C$10*C14),1)&gt;0,ROUNDUP(($C$10*C14),1)," ")</f>
        <v>#REF!</v>
      </c>
    </row>
    <row r="15" spans="2:5" x14ac:dyDescent="0.25">
      <c r="B15" s="50" t="s">
        <v>15</v>
      </c>
      <c r="C15" s="51"/>
      <c r="D15" s="19" t="e">
        <f t="shared" si="0"/>
        <v>#REF!</v>
      </c>
    </row>
    <row r="16" spans="2:5" x14ac:dyDescent="0.25">
      <c r="B16" s="50" t="s">
        <v>16</v>
      </c>
      <c r="C16" s="51"/>
      <c r="D16" s="19" t="e">
        <f t="shared" si="0"/>
        <v>#REF!</v>
      </c>
    </row>
    <row r="17" spans="2:4" x14ac:dyDescent="0.25">
      <c r="B17" s="50" t="s">
        <v>8</v>
      </c>
      <c r="C17" s="51"/>
      <c r="D17" s="19" t="e">
        <f t="shared" si="0"/>
        <v>#REF!</v>
      </c>
    </row>
    <row r="18" spans="2:4" x14ac:dyDescent="0.25">
      <c r="B18" s="50" t="s">
        <v>11</v>
      </c>
      <c r="C18" s="51"/>
      <c r="D18" s="19" t="e">
        <f t="shared" si="0"/>
        <v>#REF!</v>
      </c>
    </row>
    <row r="19" spans="2:4" x14ac:dyDescent="0.25">
      <c r="B19" s="50" t="s">
        <v>192</v>
      </c>
      <c r="C19" s="51">
        <v>0.05</v>
      </c>
      <c r="D19" s="19" t="e">
        <f>IF(ROUNDUP(($C$10*C19),1)&gt;0,ROUNDUP(($C$10*C19),1)," ")</f>
        <v>#REF!</v>
      </c>
    </row>
    <row r="20" spans="2:4" x14ac:dyDescent="0.25">
      <c r="B20" s="50" t="s">
        <v>193</v>
      </c>
      <c r="C20" s="51"/>
      <c r="D20" s="19" t="e">
        <f>IF(ROUNDUP(($C$10*C20),1)&gt;0,ROUNDUP(($C$10*C20),1)," ")</f>
        <v>#REF!</v>
      </c>
    </row>
    <row r="21" spans="2:4" x14ac:dyDescent="0.25">
      <c r="B21" s="50" t="s">
        <v>19</v>
      </c>
      <c r="C21" s="51"/>
      <c r="D21" s="19" t="e">
        <f t="shared" si="0"/>
        <v>#REF!</v>
      </c>
    </row>
    <row r="22" spans="2:4" x14ac:dyDescent="0.25">
      <c r="B22" s="50" t="s">
        <v>20</v>
      </c>
      <c r="C22" s="51"/>
      <c r="D22" s="19" t="e">
        <f t="shared" si="0"/>
        <v>#REF!</v>
      </c>
    </row>
    <row r="23" spans="2:4" x14ac:dyDescent="0.25">
      <c r="B23" s="50" t="s">
        <v>30</v>
      </c>
      <c r="C23" s="51">
        <v>0.03</v>
      </c>
      <c r="D23" s="19" t="e">
        <f t="shared" si="0"/>
        <v>#REF!</v>
      </c>
    </row>
    <row r="24" spans="2:4" x14ac:dyDescent="0.25">
      <c r="B24" s="50" t="s">
        <v>31</v>
      </c>
      <c r="C24" s="51"/>
      <c r="D24" s="19" t="e">
        <f t="shared" si="0"/>
        <v>#REF!</v>
      </c>
    </row>
    <row r="25" spans="2:4" x14ac:dyDescent="0.25">
      <c r="B25" s="50" t="s">
        <v>37</v>
      </c>
      <c r="C25" s="51"/>
      <c r="D25" s="19" t="e">
        <f t="shared" si="0"/>
        <v>#REF!</v>
      </c>
    </row>
    <row r="26" spans="2:4" x14ac:dyDescent="0.25">
      <c r="B26" s="50" t="s">
        <v>38</v>
      </c>
      <c r="C26" s="51"/>
      <c r="D26" s="19" t="e">
        <f t="shared" si="0"/>
        <v>#REF!</v>
      </c>
    </row>
    <row r="27" spans="2:4" x14ac:dyDescent="0.25">
      <c r="B27" s="50" t="s">
        <v>32</v>
      </c>
      <c r="C27" s="51"/>
      <c r="D27" s="19" t="e">
        <f t="shared" si="0"/>
        <v>#REF!</v>
      </c>
    </row>
    <row r="28" spans="2:4" x14ac:dyDescent="0.25">
      <c r="B28" s="50" t="s">
        <v>33</v>
      </c>
      <c r="C28" s="51"/>
      <c r="D28" s="19" t="e">
        <f t="shared" si="0"/>
        <v>#REF!</v>
      </c>
    </row>
    <row r="29" spans="2:4" x14ac:dyDescent="0.25">
      <c r="B29" s="50" t="s">
        <v>12</v>
      </c>
      <c r="C29" s="51"/>
      <c r="D29" s="19" t="e">
        <f t="shared" si="0"/>
        <v>#REF!</v>
      </c>
    </row>
    <row r="30" spans="2:4" x14ac:dyDescent="0.25">
      <c r="B30" s="50" t="s">
        <v>14</v>
      </c>
      <c r="C30" s="51"/>
      <c r="D30" s="19" t="e">
        <f t="shared" si="0"/>
        <v>#REF!</v>
      </c>
    </row>
    <row r="31" spans="2:4" x14ac:dyDescent="0.25">
      <c r="B31" s="50" t="s">
        <v>13</v>
      </c>
      <c r="C31" s="51">
        <v>0.05</v>
      </c>
      <c r="D31" s="19" t="e">
        <f t="shared" si="0"/>
        <v>#REF!</v>
      </c>
    </row>
    <row r="32" spans="2:4" x14ac:dyDescent="0.25">
      <c r="B32" s="50" t="s">
        <v>28</v>
      </c>
      <c r="C32" s="51">
        <v>0.04</v>
      </c>
      <c r="D32" s="19" t="e">
        <f t="shared" si="0"/>
        <v>#REF!</v>
      </c>
    </row>
    <row r="33" spans="2:4" x14ac:dyDescent="0.25">
      <c r="B33" s="50" t="s">
        <v>29</v>
      </c>
      <c r="C33" s="51"/>
      <c r="D33" s="19" t="e">
        <f t="shared" si="0"/>
        <v>#REF!</v>
      </c>
    </row>
    <row r="34" spans="2:4" x14ac:dyDescent="0.25">
      <c r="B34" s="50" t="s">
        <v>22</v>
      </c>
      <c r="C34" s="51">
        <v>0.03</v>
      </c>
      <c r="D34" s="19" t="e">
        <f t="shared" si="0"/>
        <v>#REF!</v>
      </c>
    </row>
    <row r="35" spans="2:4" x14ac:dyDescent="0.25">
      <c r="B35" s="50" t="s">
        <v>23</v>
      </c>
      <c r="C35" s="51"/>
      <c r="D35" s="19" t="e">
        <f t="shared" si="0"/>
        <v>#REF!</v>
      </c>
    </row>
    <row r="36" spans="2:4" x14ac:dyDescent="0.25">
      <c r="B36" s="50" t="s">
        <v>34</v>
      </c>
      <c r="C36" s="51"/>
      <c r="D36" s="19" t="e">
        <f t="shared" si="0"/>
        <v>#REF!</v>
      </c>
    </row>
    <row r="37" spans="2:4" x14ac:dyDescent="0.25">
      <c r="B37" s="50" t="s">
        <v>35</v>
      </c>
      <c r="C37" s="51"/>
      <c r="D37" s="19" t="e">
        <f t="shared" si="0"/>
        <v>#REF!</v>
      </c>
    </row>
    <row r="38" spans="2:4" s="1" customFormat="1" x14ac:dyDescent="0.25">
      <c r="B38" s="52" t="s">
        <v>5</v>
      </c>
      <c r="C38" s="53">
        <f>SUM(C14:C37)</f>
        <v>0.25</v>
      </c>
      <c r="D38" s="54" t="e">
        <f>SUM(D14:D37)</f>
        <v>#REF!</v>
      </c>
    </row>
    <row r="39" spans="2:4" x14ac:dyDescent="0.25">
      <c r="B39" s="2"/>
    </row>
    <row r="44" spans="2:4" x14ac:dyDescent="0.25">
      <c r="D44"/>
    </row>
    <row r="45" spans="2:4" x14ac:dyDescent="0.25">
      <c r="D45"/>
    </row>
    <row r="46" spans="2:4" x14ac:dyDescent="0.25">
      <c r="D46"/>
    </row>
    <row r="47" spans="2:4" x14ac:dyDescent="0.25">
      <c r="D47"/>
    </row>
  </sheetData>
  <sortState xmlns:xlrd2="http://schemas.microsoft.com/office/spreadsheetml/2017/richdata2" columnSort="1" ref="I5:I11">
    <sortCondition ref="I5"/>
  </sortState>
  <mergeCells count="6">
    <mergeCell ref="C11:D11"/>
    <mergeCell ref="C12:D12"/>
    <mergeCell ref="B6:D6"/>
    <mergeCell ref="C8:D8"/>
    <mergeCell ref="C9:D9"/>
    <mergeCell ref="C10:D10"/>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tabColor theme="6"/>
  </sheetPr>
  <dimension ref="A1:L108"/>
  <sheetViews>
    <sheetView showGridLines="0" topLeftCell="C1" zoomScale="90" zoomScaleNormal="90" workbookViewId="0">
      <selection activeCell="L3" sqref="L3"/>
    </sheetView>
  </sheetViews>
  <sheetFormatPr defaultColWidth="11.42578125" defaultRowHeight="12.75" x14ac:dyDescent="0.2"/>
  <cols>
    <col min="1" max="1" width="90.5703125" style="9" customWidth="1"/>
    <col min="2" max="2" width="20.7109375" style="9" bestFit="1" customWidth="1"/>
    <col min="3" max="3" width="31.28515625" style="9" bestFit="1" customWidth="1"/>
    <col min="4" max="4" width="19.85546875" style="9" bestFit="1" customWidth="1"/>
    <col min="5" max="5" width="31.85546875" style="9" customWidth="1"/>
    <col min="6" max="6" width="19.85546875" style="9" customWidth="1"/>
    <col min="7" max="7" width="19.5703125" style="9" customWidth="1"/>
    <col min="8" max="9" width="14.140625" style="9" customWidth="1"/>
    <col min="10" max="10" width="23" style="9" customWidth="1"/>
    <col min="11" max="11" width="16.140625" style="9" customWidth="1"/>
    <col min="12" max="12" width="10.28515625" style="9" customWidth="1"/>
    <col min="13" max="16384" width="11.42578125" style="9"/>
  </cols>
  <sheetData>
    <row r="1" spans="1:12" ht="25.5" x14ac:dyDescent="0.2">
      <c r="A1" s="20" t="s">
        <v>63</v>
      </c>
      <c r="B1" s="20" t="s">
        <v>46</v>
      </c>
      <c r="C1" s="20" t="s">
        <v>50</v>
      </c>
      <c r="D1" s="20" t="s">
        <v>2</v>
      </c>
      <c r="E1" s="20" t="s">
        <v>75</v>
      </c>
      <c r="F1" s="20" t="s">
        <v>53</v>
      </c>
      <c r="G1" s="18" t="s">
        <v>54</v>
      </c>
      <c r="H1" s="18" t="s">
        <v>56</v>
      </c>
      <c r="I1" s="18" t="s">
        <v>55</v>
      </c>
      <c r="J1" s="30" t="s">
        <v>49</v>
      </c>
      <c r="K1" s="30" t="s">
        <v>107</v>
      </c>
      <c r="L1" s="30" t="s">
        <v>199</v>
      </c>
    </row>
    <row r="2" spans="1:12" s="24" customFormat="1" ht="25.5" x14ac:dyDescent="0.2">
      <c r="A2" s="21" t="s">
        <v>78</v>
      </c>
      <c r="B2" s="21" t="s">
        <v>78</v>
      </c>
      <c r="C2" s="21" t="s">
        <v>78</v>
      </c>
      <c r="D2" s="21" t="s">
        <v>78</v>
      </c>
      <c r="E2" s="21" t="s">
        <v>78</v>
      </c>
      <c r="F2" s="21" t="s">
        <v>78</v>
      </c>
      <c r="G2" s="21" t="s">
        <v>78</v>
      </c>
      <c r="H2" s="21" t="s">
        <v>78</v>
      </c>
      <c r="I2" s="22" t="s">
        <v>78</v>
      </c>
      <c r="J2" s="23" t="s">
        <v>78</v>
      </c>
      <c r="K2" s="28" t="s">
        <v>111</v>
      </c>
      <c r="L2" s="73" t="s">
        <v>201</v>
      </c>
    </row>
    <row r="3" spans="1:12" x14ac:dyDescent="0.2">
      <c r="A3" s="25" t="s">
        <v>25</v>
      </c>
      <c r="B3" s="26" t="s">
        <v>47</v>
      </c>
      <c r="C3" s="29" t="s">
        <v>172</v>
      </c>
      <c r="D3" s="25" t="s">
        <v>173</v>
      </c>
      <c r="E3" s="25" t="s">
        <v>64</v>
      </c>
      <c r="F3" s="26" t="s">
        <v>76</v>
      </c>
      <c r="G3" s="4" t="s">
        <v>57</v>
      </c>
      <c r="H3" s="5" t="s">
        <v>6</v>
      </c>
      <c r="I3" s="16" t="s">
        <v>58</v>
      </c>
      <c r="J3" s="28" t="s">
        <v>147</v>
      </c>
      <c r="K3" s="28" t="s">
        <v>108</v>
      </c>
      <c r="L3" s="74" t="s">
        <v>202</v>
      </c>
    </row>
    <row r="4" spans="1:12" x14ac:dyDescent="0.2">
      <c r="A4" s="29" t="s">
        <v>27</v>
      </c>
      <c r="B4" s="26" t="s">
        <v>48</v>
      </c>
      <c r="C4" s="29" t="s">
        <v>168</v>
      </c>
      <c r="D4" s="29" t="s">
        <v>174</v>
      </c>
      <c r="E4" s="25" t="s">
        <v>65</v>
      </c>
      <c r="F4" s="26" t="s">
        <v>77</v>
      </c>
      <c r="G4" s="4" t="s">
        <v>59</v>
      </c>
      <c r="H4" s="5" t="s">
        <v>3</v>
      </c>
      <c r="I4" s="16" t="s">
        <v>60</v>
      </c>
      <c r="J4" s="28" t="s">
        <v>144</v>
      </c>
      <c r="K4" s="28" t="s">
        <v>110</v>
      </c>
      <c r="L4" s="30"/>
    </row>
    <row r="5" spans="1:12" x14ac:dyDescent="0.2">
      <c r="A5" s="25" t="s">
        <v>26</v>
      </c>
      <c r="C5" s="29" t="s">
        <v>152</v>
      </c>
      <c r="D5" s="29" t="s">
        <v>175</v>
      </c>
      <c r="E5" s="25" t="s">
        <v>66</v>
      </c>
      <c r="G5" s="4" t="s">
        <v>61</v>
      </c>
      <c r="H5" s="4" t="s">
        <v>7</v>
      </c>
      <c r="I5" s="17" t="s">
        <v>62</v>
      </c>
      <c r="J5" s="28" t="s">
        <v>142</v>
      </c>
      <c r="K5" s="28" t="s">
        <v>109</v>
      </c>
    </row>
    <row r="6" spans="1:12" x14ac:dyDescent="0.2">
      <c r="A6" s="29" t="s">
        <v>41</v>
      </c>
      <c r="C6" s="29" t="s">
        <v>169</v>
      </c>
      <c r="D6" s="29" t="s">
        <v>176</v>
      </c>
      <c r="E6" s="25" t="s">
        <v>67</v>
      </c>
      <c r="H6" s="4" t="s">
        <v>52</v>
      </c>
      <c r="J6" s="28" t="s">
        <v>183</v>
      </c>
      <c r="K6" s="28"/>
    </row>
    <row r="7" spans="1:12" x14ac:dyDescent="0.2">
      <c r="A7" s="25" t="s">
        <v>40</v>
      </c>
      <c r="C7" s="29" t="s">
        <v>167</v>
      </c>
      <c r="D7" s="29" t="s">
        <v>177</v>
      </c>
      <c r="E7" s="25" t="s">
        <v>68</v>
      </c>
      <c r="H7" s="4"/>
      <c r="J7" s="28" t="s">
        <v>182</v>
      </c>
    </row>
    <row r="8" spans="1:12" x14ac:dyDescent="0.2">
      <c r="A8" s="29" t="s">
        <v>42</v>
      </c>
      <c r="C8" s="29" t="s">
        <v>161</v>
      </c>
      <c r="D8" s="29"/>
      <c r="E8" s="25" t="s">
        <v>69</v>
      </c>
      <c r="J8" s="28" t="s">
        <v>186</v>
      </c>
    </row>
    <row r="9" spans="1:12" x14ac:dyDescent="0.2">
      <c r="A9" s="25" t="s">
        <v>17</v>
      </c>
      <c r="C9" s="29" t="s">
        <v>163</v>
      </c>
      <c r="D9" s="29"/>
      <c r="E9" s="25" t="s">
        <v>70</v>
      </c>
      <c r="J9" s="28" t="s">
        <v>185</v>
      </c>
    </row>
    <row r="10" spans="1:12" x14ac:dyDescent="0.2">
      <c r="A10" s="29" t="s">
        <v>18</v>
      </c>
      <c r="C10" s="29" t="s">
        <v>166</v>
      </c>
      <c r="D10" s="29"/>
      <c r="E10" s="25" t="s">
        <v>71</v>
      </c>
      <c r="J10" s="28" t="s">
        <v>143</v>
      </c>
    </row>
    <row r="11" spans="1:12" x14ac:dyDescent="0.2">
      <c r="A11" s="25" t="s">
        <v>15</v>
      </c>
      <c r="C11" s="29" t="s">
        <v>187</v>
      </c>
      <c r="D11" s="29"/>
      <c r="E11" s="25" t="s">
        <v>72</v>
      </c>
      <c r="J11" s="28" t="s">
        <v>181</v>
      </c>
    </row>
    <row r="12" spans="1:12" x14ac:dyDescent="0.2">
      <c r="A12" s="29" t="s">
        <v>16</v>
      </c>
      <c r="C12" s="29" t="s">
        <v>162</v>
      </c>
      <c r="D12" s="29"/>
      <c r="E12" s="25" t="s">
        <v>73</v>
      </c>
      <c r="J12" s="28" t="s">
        <v>184</v>
      </c>
    </row>
    <row r="13" spans="1:12" x14ac:dyDescent="0.2">
      <c r="A13" s="25" t="s">
        <v>8</v>
      </c>
      <c r="C13" s="29" t="s">
        <v>165</v>
      </c>
      <c r="D13" s="29"/>
      <c r="E13" s="25" t="s">
        <v>74</v>
      </c>
      <c r="J13" s="28" t="s">
        <v>145</v>
      </c>
    </row>
    <row r="14" spans="1:12" x14ac:dyDescent="0.2">
      <c r="A14" s="29" t="s">
        <v>11</v>
      </c>
      <c r="C14" s="29" t="s">
        <v>149</v>
      </c>
      <c r="E14" s="27" t="s">
        <v>74</v>
      </c>
      <c r="J14" s="28" t="s">
        <v>146</v>
      </c>
    </row>
    <row r="15" spans="1:12" x14ac:dyDescent="0.2">
      <c r="A15" s="25" t="s">
        <v>21</v>
      </c>
      <c r="C15" s="29" t="s">
        <v>156</v>
      </c>
      <c r="J15" s="28" t="s">
        <v>141</v>
      </c>
    </row>
    <row r="16" spans="1:12" x14ac:dyDescent="0.2">
      <c r="A16" s="29" t="s">
        <v>19</v>
      </c>
      <c r="C16" s="29" t="s">
        <v>154</v>
      </c>
      <c r="J16" s="28" t="s">
        <v>178</v>
      </c>
    </row>
    <row r="17" spans="1:10" x14ac:dyDescent="0.2">
      <c r="A17" s="25" t="s">
        <v>20</v>
      </c>
      <c r="C17" s="29" t="s">
        <v>170</v>
      </c>
      <c r="J17" s="28" t="s">
        <v>180</v>
      </c>
    </row>
    <row r="18" spans="1:10" x14ac:dyDescent="0.2">
      <c r="A18" s="29" t="s">
        <v>30</v>
      </c>
      <c r="C18" s="29" t="s">
        <v>155</v>
      </c>
      <c r="J18" s="28" t="s">
        <v>179</v>
      </c>
    </row>
    <row r="19" spans="1:10" x14ac:dyDescent="0.2">
      <c r="A19" s="25" t="s">
        <v>31</v>
      </c>
      <c r="C19" s="29" t="s">
        <v>153</v>
      </c>
    </row>
    <row r="20" spans="1:10" x14ac:dyDescent="0.2">
      <c r="A20" s="29" t="s">
        <v>37</v>
      </c>
      <c r="C20" s="29" t="s">
        <v>157</v>
      </c>
    </row>
    <row r="21" spans="1:10" x14ac:dyDescent="0.2">
      <c r="A21" s="25" t="s">
        <v>38</v>
      </c>
      <c r="C21" s="29" t="s">
        <v>158</v>
      </c>
    </row>
    <row r="22" spans="1:10" x14ac:dyDescent="0.2">
      <c r="A22" s="29" t="s">
        <v>39</v>
      </c>
      <c r="C22" s="29" t="s">
        <v>164</v>
      </c>
    </row>
    <row r="23" spans="1:10" x14ac:dyDescent="0.2">
      <c r="A23" s="25" t="s">
        <v>32</v>
      </c>
      <c r="C23" s="29" t="s">
        <v>159</v>
      </c>
    </row>
    <row r="24" spans="1:10" x14ac:dyDescent="0.2">
      <c r="A24" s="29" t="s">
        <v>33</v>
      </c>
      <c r="C24" s="29" t="s">
        <v>150</v>
      </c>
    </row>
    <row r="25" spans="1:10" x14ac:dyDescent="0.2">
      <c r="A25" s="25" t="s">
        <v>45</v>
      </c>
      <c r="C25" s="29" t="s">
        <v>160</v>
      </c>
    </row>
    <row r="26" spans="1:10" x14ac:dyDescent="0.2">
      <c r="A26" s="29" t="s">
        <v>43</v>
      </c>
      <c r="C26" s="29" t="s">
        <v>151</v>
      </c>
    </row>
    <row r="27" spans="1:10" x14ac:dyDescent="0.2">
      <c r="A27" s="25" t="s">
        <v>44</v>
      </c>
      <c r="C27" s="29" t="s">
        <v>171</v>
      </c>
    </row>
    <row r="28" spans="1:10" x14ac:dyDescent="0.2">
      <c r="A28" s="29" t="s">
        <v>12</v>
      </c>
      <c r="C28" s="29"/>
    </row>
    <row r="29" spans="1:10" x14ac:dyDescent="0.2">
      <c r="A29" s="25" t="s">
        <v>14</v>
      </c>
    </row>
    <row r="30" spans="1:10" x14ac:dyDescent="0.2">
      <c r="A30" s="29" t="s">
        <v>13</v>
      </c>
    </row>
    <row r="31" spans="1:10" x14ac:dyDescent="0.2">
      <c r="A31" s="25" t="s">
        <v>28</v>
      </c>
    </row>
    <row r="32" spans="1:10" x14ac:dyDescent="0.2">
      <c r="A32" s="29" t="s">
        <v>29</v>
      </c>
    </row>
    <row r="33" spans="1:1" x14ac:dyDescent="0.2">
      <c r="A33" s="25" t="s">
        <v>22</v>
      </c>
    </row>
    <row r="34" spans="1:1" x14ac:dyDescent="0.2">
      <c r="A34" s="29" t="s">
        <v>24</v>
      </c>
    </row>
    <row r="35" spans="1:1" x14ac:dyDescent="0.2">
      <c r="A35" s="25" t="s">
        <v>23</v>
      </c>
    </row>
    <row r="36" spans="1:1" x14ac:dyDescent="0.2">
      <c r="A36" s="29" t="s">
        <v>9</v>
      </c>
    </row>
    <row r="37" spans="1:1" x14ac:dyDescent="0.2">
      <c r="A37" s="25" t="s">
        <v>10</v>
      </c>
    </row>
    <row r="38" spans="1:1" x14ac:dyDescent="0.2">
      <c r="A38" s="29" t="s">
        <v>34</v>
      </c>
    </row>
    <row r="39" spans="1:1" x14ac:dyDescent="0.2">
      <c r="A39" s="25" t="s">
        <v>36</v>
      </c>
    </row>
    <row r="40" spans="1:1" x14ac:dyDescent="0.2">
      <c r="A40" s="29" t="s">
        <v>35</v>
      </c>
    </row>
    <row r="102" spans="2:3" x14ac:dyDescent="0.2">
      <c r="C102" s="31" t="e">
        <f>#REF!</f>
        <v>#REF!</v>
      </c>
    </row>
    <row r="103" spans="2:3" x14ac:dyDescent="0.2">
      <c r="B103" s="31" t="e">
        <f>#REF!</f>
        <v>#REF!</v>
      </c>
      <c r="C103" s="32" t="e">
        <f>#REF!</f>
        <v>#REF!</v>
      </c>
    </row>
    <row r="104" spans="2:3" x14ac:dyDescent="0.2">
      <c r="B104" s="33" t="e">
        <f>#REF!</f>
        <v>#REF!</v>
      </c>
      <c r="C104" s="32" t="e">
        <f>#REF!</f>
        <v>#REF!</v>
      </c>
    </row>
    <row r="105" spans="2:3" x14ac:dyDescent="0.2">
      <c r="B105" s="33" t="e">
        <f>#REF!</f>
        <v>#REF!</v>
      </c>
      <c r="C105" s="32" t="e">
        <f>#REF!</f>
        <v>#REF!</v>
      </c>
    </row>
    <row r="106" spans="2:3" x14ac:dyDescent="0.2">
      <c r="B106" s="33" t="e">
        <f>#REF!</f>
        <v>#REF!</v>
      </c>
      <c r="C106" s="32" t="e">
        <f>#REF!</f>
        <v>#REF!</v>
      </c>
    </row>
    <row r="107" spans="2:3" x14ac:dyDescent="0.2">
      <c r="B107" s="33" t="e">
        <f>#REF!</f>
        <v>#REF!</v>
      </c>
      <c r="C107" s="32" t="e">
        <f>#REF!</f>
        <v>#REF!</v>
      </c>
    </row>
    <row r="108" spans="2:3" x14ac:dyDescent="0.2">
      <c r="B108" s="33" t="e">
        <f>#REF!</f>
        <v>#REF!</v>
      </c>
    </row>
  </sheetData>
  <sortState xmlns:xlrd2="http://schemas.microsoft.com/office/spreadsheetml/2017/richdata2" ref="C3:C27">
    <sortCondition ref="C3"/>
  </sortState>
  <pageMargins left="0.7" right="0.7" top="0.75" bottom="0.75" header="0.3" footer="0.3"/>
  <pageSetup paperSize="2833" orientation="portrait" horizontalDpi="203" verticalDpi="20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J26">
    <tabColor theme="6"/>
  </sheetPr>
  <dimension ref="A1:XFC102"/>
  <sheetViews>
    <sheetView showGridLines="0" zoomScale="85" zoomScaleNormal="85" workbookViewId="0">
      <selection activeCell="N9" sqref="N9:Y9"/>
    </sheetView>
  </sheetViews>
  <sheetFormatPr defaultColWidth="0" defaultRowHeight="15" x14ac:dyDescent="0.25"/>
  <cols>
    <col min="1" max="53" width="2.7109375" customWidth="1"/>
    <col min="54" max="54" width="2.85546875" customWidth="1"/>
    <col min="55" max="16383" width="3.85546875" hidden="1"/>
    <col min="16384" max="16384" width="4.42578125" hidden="1"/>
  </cols>
  <sheetData>
    <row r="1" spans="3:104" x14ac:dyDescent="0.25">
      <c r="BC1">
        <f>ROW(BC71)</f>
        <v>71</v>
      </c>
      <c r="BD1">
        <f>ROW(BC71)</f>
        <v>71</v>
      </c>
      <c r="CZ1" s="34">
        <v>0</v>
      </c>
    </row>
    <row r="2" spans="3:104" x14ac:dyDescent="0.25">
      <c r="C2" s="14"/>
      <c r="D2" s="13"/>
      <c r="E2" s="13"/>
      <c r="F2" s="13"/>
      <c r="G2" s="13"/>
      <c r="H2" s="13"/>
      <c r="I2" s="13"/>
      <c r="J2" s="13"/>
      <c r="K2" s="208" t="s">
        <v>112</v>
      </c>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9"/>
      <c r="BC2" s="282" t="s">
        <v>113</v>
      </c>
      <c r="BD2" s="283"/>
      <c r="BE2" s="283"/>
      <c r="BF2" s="283"/>
      <c r="BG2" s="284"/>
      <c r="BH2" s="285" t="s">
        <v>114</v>
      </c>
      <c r="BI2" s="286"/>
      <c r="BJ2" s="286"/>
      <c r="BK2" s="286"/>
      <c r="BL2" s="286"/>
      <c r="BM2" s="287"/>
      <c r="BN2" s="285" t="s">
        <v>115</v>
      </c>
      <c r="BO2" s="286"/>
      <c r="BP2" s="286"/>
      <c r="BQ2" s="286"/>
      <c r="BR2" s="286"/>
      <c r="BS2" s="287"/>
      <c r="BU2" s="285" t="s">
        <v>116</v>
      </c>
      <c r="BV2" s="286"/>
      <c r="BW2" s="286"/>
      <c r="BX2" s="286"/>
      <c r="BY2" s="286"/>
      <c r="BZ2" s="286"/>
      <c r="CA2" s="286"/>
      <c r="CB2" s="286"/>
      <c r="CC2" s="286"/>
      <c r="CD2" s="286"/>
      <c r="CE2" s="286"/>
      <c r="CF2" s="286"/>
      <c r="CG2" s="286"/>
      <c r="CH2" s="286"/>
      <c r="CI2" s="286"/>
      <c r="CJ2" s="286"/>
      <c r="CK2" s="286"/>
      <c r="CL2" s="286"/>
      <c r="CM2" s="286"/>
      <c r="CN2" s="286"/>
      <c r="CO2" s="286"/>
      <c r="CP2" s="286"/>
      <c r="CQ2" s="286"/>
      <c r="CR2" s="286"/>
      <c r="CS2" s="286"/>
      <c r="CT2" s="286"/>
      <c r="CU2" s="286"/>
      <c r="CV2" s="287"/>
      <c r="CZ2" s="34">
        <v>0</v>
      </c>
    </row>
    <row r="3" spans="3:104" x14ac:dyDescent="0.25">
      <c r="C3" s="12"/>
      <c r="K3" s="210"/>
      <c r="L3" s="210"/>
      <c r="M3" s="210"/>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0"/>
      <c r="AO3" s="210"/>
      <c r="AP3" s="210"/>
      <c r="AQ3" s="210"/>
      <c r="AR3" s="210"/>
      <c r="AS3" s="210"/>
      <c r="AT3" s="210"/>
      <c r="AU3" s="210"/>
      <c r="AV3" s="210"/>
      <c r="AW3" s="210"/>
      <c r="AX3" s="210"/>
      <c r="AY3" s="210"/>
      <c r="AZ3" s="211"/>
      <c r="BC3" s="199" t="s">
        <v>117</v>
      </c>
      <c r="BD3" s="200"/>
      <c r="BE3" s="200"/>
      <c r="BF3" s="200"/>
      <c r="BG3" s="201"/>
      <c r="BH3" s="202">
        <f>ROW(C12)</f>
        <v>12</v>
      </c>
      <c r="BI3" s="203"/>
      <c r="BJ3" s="203"/>
      <c r="BK3" s="203"/>
      <c r="BL3" s="203"/>
      <c r="BM3" s="204"/>
      <c r="BN3" s="205">
        <v>0</v>
      </c>
      <c r="BO3" s="206"/>
      <c r="BP3" s="206"/>
      <c r="BQ3" s="206"/>
      <c r="BR3" s="206"/>
      <c r="BS3" s="207"/>
      <c r="BU3" s="288" t="s">
        <v>118</v>
      </c>
      <c r="BV3" s="289"/>
      <c r="BW3" s="290" t="s">
        <v>119</v>
      </c>
      <c r="BX3" s="291"/>
      <c r="BY3" s="291"/>
      <c r="BZ3" s="291"/>
      <c r="CA3" s="291"/>
      <c r="CB3" s="291"/>
      <c r="CC3" s="291"/>
      <c r="CD3" s="291"/>
      <c r="CE3" s="291"/>
      <c r="CF3" s="291"/>
      <c r="CG3" s="291"/>
      <c r="CH3" s="291"/>
      <c r="CI3" s="291"/>
      <c r="CJ3" s="291"/>
      <c r="CK3" s="291"/>
      <c r="CL3" s="291"/>
      <c r="CM3" s="291"/>
      <c r="CN3" s="291"/>
      <c r="CO3" s="291"/>
      <c r="CP3" s="291"/>
      <c r="CQ3" s="291"/>
      <c r="CR3" s="291"/>
      <c r="CS3" s="291"/>
      <c r="CT3" s="291"/>
      <c r="CU3" s="291"/>
      <c r="CV3" s="292"/>
      <c r="CZ3" s="34">
        <v>0</v>
      </c>
    </row>
    <row r="4" spans="3:104" x14ac:dyDescent="0.25">
      <c r="C4" s="8"/>
      <c r="D4" s="7"/>
      <c r="E4" s="7"/>
      <c r="F4" s="7"/>
      <c r="G4" s="7"/>
      <c r="H4" s="7"/>
      <c r="I4" s="7"/>
      <c r="J4" s="7"/>
      <c r="K4" s="212"/>
      <c r="L4" s="212"/>
      <c r="M4" s="212"/>
      <c r="N4" s="212"/>
      <c r="O4" s="212"/>
      <c r="P4" s="212"/>
      <c r="Q4" s="212"/>
      <c r="R4" s="212"/>
      <c r="S4" s="212"/>
      <c r="T4" s="212"/>
      <c r="U4" s="212"/>
      <c r="V4" s="212"/>
      <c r="W4" s="212"/>
      <c r="X4" s="212"/>
      <c r="Y4" s="212"/>
      <c r="Z4" s="212"/>
      <c r="AA4" s="212"/>
      <c r="AB4" s="212"/>
      <c r="AC4" s="212"/>
      <c r="AD4" s="212"/>
      <c r="AE4" s="212"/>
      <c r="AF4" s="212"/>
      <c r="AG4" s="212"/>
      <c r="AH4" s="212"/>
      <c r="AI4" s="212"/>
      <c r="AJ4" s="212"/>
      <c r="AK4" s="212"/>
      <c r="AL4" s="212"/>
      <c r="AM4" s="212"/>
      <c r="AN4" s="212"/>
      <c r="AO4" s="212"/>
      <c r="AP4" s="212"/>
      <c r="AQ4" s="212"/>
      <c r="AR4" s="212"/>
      <c r="AS4" s="212"/>
      <c r="AT4" s="212"/>
      <c r="AU4" s="212"/>
      <c r="AV4" s="212"/>
      <c r="AW4" s="212"/>
      <c r="AX4" s="212"/>
      <c r="AY4" s="212"/>
      <c r="AZ4" s="213"/>
      <c r="BC4" s="199" t="s">
        <v>120</v>
      </c>
      <c r="BD4" s="200"/>
      <c r="BE4" s="200"/>
      <c r="BF4" s="200"/>
      <c r="BG4" s="201"/>
      <c r="BH4" s="202">
        <f>ROW(C39)</f>
        <v>39</v>
      </c>
      <c r="BI4" s="203"/>
      <c r="BJ4" s="203"/>
      <c r="BK4" s="203"/>
      <c r="BL4" s="203"/>
      <c r="BM4" s="204"/>
      <c r="BN4" s="205">
        <v>0</v>
      </c>
      <c r="BO4" s="206"/>
      <c r="BP4" s="206"/>
      <c r="BQ4" s="206"/>
      <c r="BR4" s="206"/>
      <c r="BS4" s="207"/>
      <c r="CZ4" s="34">
        <v>0</v>
      </c>
    </row>
    <row r="5" spans="3:104" x14ac:dyDescent="0.25">
      <c r="AZ5" s="11"/>
      <c r="BC5" s="199" t="s">
        <v>121</v>
      </c>
      <c r="BD5" s="200"/>
      <c r="BE5" s="200"/>
      <c r="BF5" s="200"/>
      <c r="BG5" s="201"/>
      <c r="BH5" s="202">
        <f>ROW(C53)</f>
        <v>53</v>
      </c>
      <c r="BI5" s="203"/>
      <c r="BJ5" s="203"/>
      <c r="BK5" s="203"/>
      <c r="BL5" s="203"/>
      <c r="BM5" s="204"/>
      <c r="BN5" s="205">
        <v>0</v>
      </c>
      <c r="BO5" s="206"/>
      <c r="BP5" s="206"/>
      <c r="BQ5" s="206"/>
      <c r="BR5" s="206"/>
      <c r="BS5" s="207"/>
      <c r="CZ5" s="34">
        <v>0</v>
      </c>
    </row>
    <row r="6" spans="3:104" x14ac:dyDescent="0.25">
      <c r="BC6" s="199" t="s">
        <v>122</v>
      </c>
      <c r="BD6" s="200"/>
      <c r="BE6" s="200"/>
      <c r="BF6" s="200"/>
      <c r="BG6" s="201"/>
      <c r="BH6" s="202">
        <f>ROW(C63)</f>
        <v>63</v>
      </c>
      <c r="BI6" s="203"/>
      <c r="BJ6" s="203"/>
      <c r="BK6" s="203"/>
      <c r="BL6" s="203"/>
      <c r="BM6" s="204"/>
      <c r="BN6" s="205">
        <v>0</v>
      </c>
      <c r="BO6" s="206"/>
      <c r="BP6" s="206"/>
      <c r="BQ6" s="206"/>
      <c r="BR6" s="206"/>
      <c r="BS6" s="207"/>
      <c r="CZ6" s="34">
        <v>0</v>
      </c>
    </row>
    <row r="7" spans="3:104" x14ac:dyDescent="0.25">
      <c r="C7" s="214" t="s">
        <v>105</v>
      </c>
      <c r="D7" s="215"/>
      <c r="E7" s="216"/>
      <c r="F7" s="220" t="s">
        <v>104</v>
      </c>
      <c r="G7" s="215"/>
      <c r="H7" s="215"/>
      <c r="I7" s="216"/>
      <c r="J7" s="220" t="s">
        <v>103</v>
      </c>
      <c r="K7" s="215"/>
      <c r="L7" s="215"/>
      <c r="M7" s="216"/>
      <c r="N7" s="222" t="s">
        <v>102</v>
      </c>
      <c r="O7" s="223"/>
      <c r="P7" s="223"/>
      <c r="Q7" s="223"/>
      <c r="R7" s="223"/>
      <c r="S7" s="223"/>
      <c r="T7" s="223"/>
      <c r="U7" s="223"/>
      <c r="V7" s="223"/>
      <c r="W7" s="223"/>
      <c r="X7" s="223"/>
      <c r="Y7" s="224"/>
      <c r="Z7" s="220" t="s">
        <v>101</v>
      </c>
      <c r="AA7" s="215"/>
      <c r="AB7" s="215"/>
      <c r="AC7" s="215"/>
      <c r="AD7" s="215"/>
      <c r="AE7" s="215"/>
      <c r="AF7" s="215"/>
      <c r="AG7" s="215"/>
      <c r="AH7" s="216"/>
      <c r="AI7" s="222" t="s">
        <v>100</v>
      </c>
      <c r="AJ7" s="223"/>
      <c r="AK7" s="223"/>
      <c r="AL7" s="223"/>
      <c r="AM7" s="223"/>
      <c r="AN7" s="223"/>
      <c r="AO7" s="223"/>
      <c r="AP7" s="223"/>
      <c r="AQ7" s="224"/>
      <c r="AR7" s="222" t="s">
        <v>99</v>
      </c>
      <c r="AS7" s="223"/>
      <c r="AT7" s="223"/>
      <c r="AU7" s="223"/>
      <c r="AV7" s="223"/>
      <c r="AW7" s="223"/>
      <c r="AX7" s="223"/>
      <c r="AY7" s="223"/>
      <c r="AZ7" s="228"/>
      <c r="CZ7" s="34">
        <v>0</v>
      </c>
    </row>
    <row r="8" spans="3:104" x14ac:dyDescent="0.25">
      <c r="C8" s="217"/>
      <c r="D8" s="218"/>
      <c r="E8" s="219"/>
      <c r="F8" s="221"/>
      <c r="G8" s="218"/>
      <c r="H8" s="218"/>
      <c r="I8" s="219"/>
      <c r="J8" s="221"/>
      <c r="K8" s="218"/>
      <c r="L8" s="218"/>
      <c r="M8" s="219"/>
      <c r="N8" s="225"/>
      <c r="O8" s="226"/>
      <c r="P8" s="226"/>
      <c r="Q8" s="226"/>
      <c r="R8" s="226"/>
      <c r="S8" s="226"/>
      <c r="T8" s="226"/>
      <c r="U8" s="226"/>
      <c r="V8" s="226"/>
      <c r="W8" s="226"/>
      <c r="X8" s="226"/>
      <c r="Y8" s="227"/>
      <c r="Z8" s="221"/>
      <c r="AA8" s="218"/>
      <c r="AB8" s="218"/>
      <c r="AC8" s="218"/>
      <c r="AD8" s="218"/>
      <c r="AE8" s="218"/>
      <c r="AF8" s="218"/>
      <c r="AG8" s="218"/>
      <c r="AH8" s="219"/>
      <c r="AI8" s="225"/>
      <c r="AJ8" s="226"/>
      <c r="AK8" s="226"/>
      <c r="AL8" s="226"/>
      <c r="AM8" s="226"/>
      <c r="AN8" s="226"/>
      <c r="AO8" s="226"/>
      <c r="AP8" s="226"/>
      <c r="AQ8" s="227"/>
      <c r="AR8" s="225"/>
      <c r="AS8" s="226"/>
      <c r="AT8" s="226"/>
      <c r="AU8" s="226"/>
      <c r="AV8" s="226"/>
      <c r="AW8" s="226"/>
      <c r="AX8" s="226"/>
      <c r="AY8" s="226"/>
      <c r="AZ8" s="229"/>
      <c r="CZ8" s="34">
        <v>0</v>
      </c>
    </row>
    <row r="9" spans="3:104" x14ac:dyDescent="0.25">
      <c r="C9" s="272"/>
      <c r="D9" s="273"/>
      <c r="E9" s="273"/>
      <c r="F9" s="274"/>
      <c r="G9" s="274"/>
      <c r="H9" s="274"/>
      <c r="I9" s="274"/>
      <c r="J9" s="274" t="s">
        <v>123</v>
      </c>
      <c r="K9" s="274"/>
      <c r="L9" s="274"/>
      <c r="M9" s="274"/>
      <c r="N9" s="275"/>
      <c r="O9" s="275"/>
      <c r="P9" s="275"/>
      <c r="Q9" s="275"/>
      <c r="R9" s="275"/>
      <c r="S9" s="275"/>
      <c r="T9" s="275"/>
      <c r="U9" s="275"/>
      <c r="V9" s="275"/>
      <c r="W9" s="275"/>
      <c r="X9" s="275"/>
      <c r="Y9" s="275"/>
      <c r="Z9" s="270"/>
      <c r="AA9" s="270"/>
      <c r="AB9" s="270"/>
      <c r="AC9" s="270"/>
      <c r="AD9" s="270"/>
      <c r="AE9" s="270"/>
      <c r="AF9" s="270"/>
      <c r="AG9" s="270"/>
      <c r="AH9" s="270"/>
      <c r="AI9" s="270"/>
      <c r="AJ9" s="270"/>
      <c r="AK9" s="270"/>
      <c r="AL9" s="270"/>
      <c r="AM9" s="270"/>
      <c r="AN9" s="270"/>
      <c r="AO9" s="270"/>
      <c r="AP9" s="270"/>
      <c r="AQ9" s="270"/>
      <c r="AR9" s="270"/>
      <c r="AS9" s="270"/>
      <c r="AT9" s="270"/>
      <c r="AU9" s="270"/>
      <c r="AV9" s="270"/>
      <c r="AW9" s="270"/>
      <c r="AX9" s="270"/>
      <c r="AY9" s="270"/>
      <c r="AZ9" s="271"/>
      <c r="CZ9" s="34">
        <v>0</v>
      </c>
    </row>
    <row r="10" spans="3:104" x14ac:dyDescent="0.25">
      <c r="C10" s="276"/>
      <c r="D10" s="277"/>
      <c r="E10" s="277"/>
      <c r="F10" s="278"/>
      <c r="G10" s="278"/>
      <c r="H10" s="278"/>
      <c r="I10" s="278"/>
      <c r="J10" s="278" t="s">
        <v>123</v>
      </c>
      <c r="K10" s="278"/>
      <c r="L10" s="278"/>
      <c r="M10" s="278"/>
      <c r="N10" s="279"/>
      <c r="O10" s="279"/>
      <c r="P10" s="279"/>
      <c r="Q10" s="279"/>
      <c r="R10" s="279"/>
      <c r="S10" s="279"/>
      <c r="T10" s="279"/>
      <c r="U10" s="279"/>
      <c r="V10" s="279"/>
      <c r="W10" s="279"/>
      <c r="X10" s="279"/>
      <c r="Y10" s="279"/>
      <c r="Z10" s="280"/>
      <c r="AA10" s="280"/>
      <c r="AB10" s="280"/>
      <c r="AC10" s="280"/>
      <c r="AD10" s="280"/>
      <c r="AE10" s="280"/>
      <c r="AF10" s="280"/>
      <c r="AG10" s="280"/>
      <c r="AH10" s="280"/>
      <c r="AI10" s="280"/>
      <c r="AJ10" s="280"/>
      <c r="AK10" s="280"/>
      <c r="AL10" s="280"/>
      <c r="AM10" s="280"/>
      <c r="AN10" s="280"/>
      <c r="AO10" s="280"/>
      <c r="AP10" s="280"/>
      <c r="AQ10" s="280"/>
      <c r="AR10" s="280"/>
      <c r="AS10" s="280"/>
      <c r="AT10" s="280"/>
      <c r="AU10" s="280"/>
      <c r="AV10" s="280"/>
      <c r="AW10" s="280"/>
      <c r="AX10" s="280"/>
      <c r="AY10" s="280"/>
      <c r="AZ10" s="281"/>
      <c r="CZ10" s="34">
        <v>0</v>
      </c>
    </row>
    <row r="11" spans="3:104" x14ac:dyDescent="0.25">
      <c r="C11" s="272"/>
      <c r="D11" s="273"/>
      <c r="E11" s="273"/>
      <c r="F11" s="274"/>
      <c r="G11" s="274"/>
      <c r="H11" s="274"/>
      <c r="I11" s="274"/>
      <c r="J11" s="274" t="s">
        <v>123</v>
      </c>
      <c r="K11" s="274"/>
      <c r="L11" s="274"/>
      <c r="M11" s="274"/>
      <c r="N11" s="275"/>
      <c r="O11" s="275"/>
      <c r="P11" s="275"/>
      <c r="Q11" s="275"/>
      <c r="R11" s="275"/>
      <c r="S11" s="275"/>
      <c r="T11" s="275"/>
      <c r="U11" s="275"/>
      <c r="V11" s="275"/>
      <c r="W11" s="275"/>
      <c r="X11" s="275"/>
      <c r="Y11" s="275"/>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1"/>
      <c r="CZ11" s="34">
        <v>0</v>
      </c>
    </row>
    <row r="12" spans="3:104" x14ac:dyDescent="0.25">
      <c r="C12" s="194" t="s">
        <v>92</v>
      </c>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5"/>
      <c r="AB12" s="195"/>
      <c r="AC12" s="195"/>
      <c r="AD12" s="195"/>
      <c r="AE12" s="195"/>
      <c r="AF12" s="195"/>
      <c r="AG12" s="195"/>
      <c r="AH12" s="195"/>
      <c r="AI12" s="195"/>
      <c r="AJ12" s="195"/>
      <c r="AK12" s="195"/>
      <c r="AL12" s="195"/>
      <c r="AM12" s="195"/>
      <c r="AN12" s="195"/>
      <c r="AO12" s="195"/>
      <c r="AP12" s="195"/>
      <c r="AQ12" s="195"/>
      <c r="AR12" s="195"/>
      <c r="AS12" s="195"/>
      <c r="AT12" s="195"/>
      <c r="AU12" s="195"/>
      <c r="AV12" s="196"/>
      <c r="AW12" s="197" t="s">
        <v>91</v>
      </c>
      <c r="AX12" s="198"/>
      <c r="AY12" s="197" t="s">
        <v>90</v>
      </c>
      <c r="AZ12" s="198"/>
      <c r="CZ12" s="34">
        <v>1</v>
      </c>
    </row>
    <row r="13" spans="3:104" x14ac:dyDescent="0.25">
      <c r="C13" s="10" t="s">
        <v>98</v>
      </c>
      <c r="D13" s="231" t="s">
        <v>97</v>
      </c>
      <c r="E13" s="231"/>
      <c r="F13" s="231"/>
      <c r="G13" s="231"/>
      <c r="H13" s="231"/>
      <c r="I13" s="231"/>
      <c r="J13" s="231"/>
      <c r="K13" s="231"/>
      <c r="L13" s="231"/>
      <c r="M13" s="231"/>
      <c r="N13" s="231"/>
      <c r="O13" s="231"/>
      <c r="P13" s="231"/>
      <c r="Q13" s="231"/>
      <c r="R13" s="231"/>
      <c r="S13" s="231"/>
      <c r="T13" s="231"/>
      <c r="U13" s="231"/>
      <c r="V13" s="231"/>
      <c r="W13" s="231"/>
      <c r="X13" s="231"/>
      <c r="Y13" s="231"/>
      <c r="Z13" s="231"/>
      <c r="AA13" s="231"/>
      <c r="AB13" s="231"/>
      <c r="AC13" s="231"/>
      <c r="AD13" s="231"/>
      <c r="AE13" s="231"/>
      <c r="AF13" s="231"/>
      <c r="AG13" s="231"/>
      <c r="AH13" s="231"/>
      <c r="AI13" s="231"/>
      <c r="AJ13" s="231"/>
      <c r="AK13" s="231"/>
      <c r="AL13" s="231"/>
      <c r="AM13" s="231"/>
      <c r="AN13" s="231"/>
      <c r="AO13" s="231"/>
      <c r="AP13" s="231"/>
      <c r="AQ13" s="231"/>
      <c r="AR13" s="231"/>
      <c r="AS13" s="231"/>
      <c r="AT13" s="231"/>
      <c r="AU13" s="231"/>
      <c r="AV13" s="231"/>
      <c r="AW13" s="231"/>
      <c r="AX13" s="231"/>
      <c r="AY13" s="231"/>
      <c r="AZ13" s="231"/>
      <c r="CZ13" s="34">
        <v>0</v>
      </c>
    </row>
    <row r="14" spans="3:104" x14ac:dyDescent="0.25">
      <c r="C14" s="10" t="s">
        <v>96</v>
      </c>
      <c r="D14" s="230" t="s">
        <v>95</v>
      </c>
      <c r="E14" s="230"/>
      <c r="F14" s="230"/>
      <c r="G14" s="230"/>
      <c r="H14" s="230"/>
      <c r="I14" s="230"/>
      <c r="J14" s="230"/>
      <c r="K14" s="230"/>
      <c r="L14" s="230"/>
      <c r="M14" s="230"/>
      <c r="N14" s="230"/>
      <c r="O14" s="230"/>
      <c r="P14" s="230"/>
      <c r="Q14" s="230"/>
      <c r="R14" s="230"/>
      <c r="S14" s="230"/>
      <c r="T14" s="230"/>
      <c r="U14" s="230"/>
      <c r="V14" s="230"/>
      <c r="W14" s="230"/>
      <c r="X14" s="230"/>
      <c r="Y14" s="230"/>
      <c r="Z14" s="230"/>
      <c r="AA14" s="230"/>
      <c r="AB14" s="230"/>
      <c r="AC14" s="230"/>
      <c r="AD14" s="230"/>
      <c r="AE14" s="230"/>
      <c r="AF14" s="230"/>
      <c r="AG14" s="230"/>
      <c r="AH14" s="230"/>
      <c r="AI14" s="230"/>
      <c r="AJ14" s="230"/>
      <c r="AK14" s="230"/>
      <c r="AL14" s="230"/>
      <c r="AM14" s="230"/>
      <c r="AN14" s="230"/>
      <c r="AO14" s="230"/>
      <c r="AP14" s="230"/>
      <c r="AQ14" s="230"/>
      <c r="AR14" s="230"/>
      <c r="AS14" s="230"/>
      <c r="AT14" s="230"/>
      <c r="AU14" s="230"/>
      <c r="AV14" s="230"/>
      <c r="AW14" s="230"/>
      <c r="AX14" s="230"/>
      <c r="AY14" s="230"/>
      <c r="AZ14" s="230"/>
      <c r="CZ14" s="34">
        <v>0</v>
      </c>
    </row>
    <row r="15" spans="3:104" x14ac:dyDescent="0.25">
      <c r="C15" s="10"/>
      <c r="D15" s="230"/>
      <c r="E15" s="230"/>
      <c r="F15" s="230"/>
      <c r="G15" s="230"/>
      <c r="H15" s="230"/>
      <c r="I15" s="230"/>
      <c r="J15" s="230"/>
      <c r="K15" s="230"/>
      <c r="L15" s="230"/>
      <c r="M15" s="230"/>
      <c r="N15" s="230"/>
      <c r="O15" s="230"/>
      <c r="P15" s="230"/>
      <c r="Q15" s="230"/>
      <c r="R15" s="230"/>
      <c r="S15" s="230"/>
      <c r="T15" s="230"/>
      <c r="U15" s="230"/>
      <c r="V15" s="230"/>
      <c r="W15" s="230"/>
      <c r="X15" s="230"/>
      <c r="Y15" s="230"/>
      <c r="Z15" s="230"/>
      <c r="AA15" s="230"/>
      <c r="AB15" s="230"/>
      <c r="AC15" s="230"/>
      <c r="AD15" s="230"/>
      <c r="AE15" s="230"/>
      <c r="AF15" s="230"/>
      <c r="AG15" s="230"/>
      <c r="AH15" s="230"/>
      <c r="AI15" s="230"/>
      <c r="AJ15" s="230"/>
      <c r="AK15" s="230"/>
      <c r="AL15" s="230"/>
      <c r="AM15" s="230"/>
      <c r="AN15" s="230"/>
      <c r="AO15" s="230"/>
      <c r="AP15" s="230"/>
      <c r="AQ15" s="230"/>
      <c r="AR15" s="230"/>
      <c r="AS15" s="230"/>
      <c r="AT15" s="230"/>
      <c r="AU15" s="230"/>
      <c r="AV15" s="230"/>
      <c r="AW15" s="230"/>
      <c r="AX15" s="230"/>
      <c r="AY15" s="230"/>
      <c r="AZ15" s="230"/>
      <c r="CZ15" s="34">
        <v>0</v>
      </c>
    </row>
    <row r="16" spans="3:104" x14ac:dyDescent="0.25">
      <c r="C16" s="35"/>
      <c r="D16" s="230"/>
      <c r="E16" s="230"/>
      <c r="F16" s="230"/>
      <c r="G16" s="230"/>
      <c r="H16" s="230"/>
      <c r="I16" s="230"/>
      <c r="J16" s="230"/>
      <c r="K16" s="230"/>
      <c r="L16" s="230"/>
      <c r="M16" s="230"/>
      <c r="N16" s="230"/>
      <c r="O16" s="230"/>
      <c r="P16" s="230"/>
      <c r="Q16" s="230"/>
      <c r="R16" s="230"/>
      <c r="S16" s="230"/>
      <c r="T16" s="230"/>
      <c r="U16" s="230"/>
      <c r="V16" s="230"/>
      <c r="W16" s="230"/>
      <c r="X16" s="230"/>
      <c r="Y16" s="230"/>
      <c r="Z16" s="230"/>
      <c r="AA16" s="230"/>
      <c r="AB16" s="230"/>
      <c r="AC16" s="230"/>
      <c r="AD16" s="230"/>
      <c r="AE16" s="230"/>
      <c r="AF16" s="230"/>
      <c r="AG16" s="230"/>
      <c r="AH16" s="230"/>
      <c r="AI16" s="230"/>
      <c r="AJ16" s="230"/>
      <c r="AK16" s="230"/>
      <c r="AL16" s="230"/>
      <c r="AM16" s="230"/>
      <c r="AN16" s="230"/>
      <c r="AO16" s="230"/>
      <c r="AP16" s="230"/>
      <c r="AQ16" s="230"/>
      <c r="AR16" s="230"/>
      <c r="AS16" s="230"/>
      <c r="AT16" s="230"/>
      <c r="AU16" s="230"/>
      <c r="AV16" s="230"/>
      <c r="AW16" s="230"/>
      <c r="AX16" s="230"/>
      <c r="AY16" s="230"/>
      <c r="AZ16" s="230"/>
      <c r="CZ16" s="34">
        <v>0</v>
      </c>
    </row>
    <row r="17" spans="3:104" x14ac:dyDescent="0.25">
      <c r="C17" s="188" t="s">
        <v>94</v>
      </c>
      <c r="D17" s="189"/>
      <c r="E17" s="189"/>
      <c r="F17" s="189"/>
      <c r="G17" s="189"/>
      <c r="H17" s="189"/>
      <c r="I17" s="189"/>
      <c r="J17" s="189"/>
      <c r="K17" s="189"/>
      <c r="L17" s="189"/>
      <c r="M17" s="189"/>
      <c r="N17" s="189"/>
      <c r="O17" s="189"/>
      <c r="P17" s="190"/>
      <c r="Q17" s="8"/>
      <c r="R17" s="7"/>
      <c r="S17" s="7"/>
      <c r="T17" s="7"/>
      <c r="U17" s="7"/>
      <c r="V17" s="7"/>
      <c r="W17" s="7"/>
      <c r="X17" s="7"/>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CZ17" s="34">
        <v>0</v>
      </c>
    </row>
    <row r="18" spans="3:104" x14ac:dyDescent="0.25">
      <c r="CZ18" s="34">
        <v>0</v>
      </c>
    </row>
    <row r="19" spans="3:104" ht="15" customHeight="1" x14ac:dyDescent="0.25">
      <c r="C19" s="177" t="e">
        <f>#REF!</f>
        <v>#REF!</v>
      </c>
      <c r="D19" s="178"/>
      <c r="E19" s="178"/>
      <c r="F19" s="178"/>
      <c r="G19" s="178"/>
      <c r="H19" s="178"/>
      <c r="I19" s="178"/>
      <c r="J19" s="178"/>
      <c r="K19" s="178"/>
      <c r="L19" s="178"/>
      <c r="M19" s="178"/>
      <c r="N19" s="178"/>
      <c r="O19" s="178"/>
      <c r="P19" s="179"/>
      <c r="Q19" s="180" t="e">
        <f>IF(#REF!=0," ",#REF!)</f>
        <v>#REF!</v>
      </c>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2"/>
      <c r="BC19">
        <f t="shared" ref="BC19:BC24" si="0">ROW(Q19)</f>
        <v>19</v>
      </c>
      <c r="BD19">
        <f t="shared" ref="BD19:BD24" si="1">COLUMN(Q19)</f>
        <v>17</v>
      </c>
      <c r="CZ19" s="34">
        <v>2</v>
      </c>
    </row>
    <row r="20" spans="3:104" ht="15" customHeight="1" x14ac:dyDescent="0.25">
      <c r="C20" s="177" t="e">
        <f>#REF!</f>
        <v>#REF!</v>
      </c>
      <c r="D20" s="178"/>
      <c r="E20" s="178"/>
      <c r="F20" s="178"/>
      <c r="G20" s="178"/>
      <c r="H20" s="178"/>
      <c r="I20" s="178"/>
      <c r="J20" s="178"/>
      <c r="K20" s="178"/>
      <c r="L20" s="178"/>
      <c r="M20" s="178"/>
      <c r="N20" s="178"/>
      <c r="O20" s="178"/>
      <c r="P20" s="179"/>
      <c r="Q20" s="180" t="e">
        <f>IF(#REF!=0," ",#REF!)</f>
        <v>#REF!</v>
      </c>
      <c r="R20" s="181"/>
      <c r="S20" s="181"/>
      <c r="T20" s="181"/>
      <c r="U20" s="181"/>
      <c r="V20" s="181"/>
      <c r="W20" s="181"/>
      <c r="X20" s="181"/>
      <c r="Y20" s="181"/>
      <c r="Z20" s="181"/>
      <c r="AA20" s="181"/>
      <c r="AB20" s="181"/>
      <c r="AC20" s="181"/>
      <c r="AD20" s="181"/>
      <c r="AE20" s="181"/>
      <c r="AF20" s="181"/>
      <c r="AG20" s="181"/>
      <c r="AH20" s="181"/>
      <c r="AI20" s="181"/>
      <c r="AJ20" s="181"/>
      <c r="AK20" s="181"/>
      <c r="AL20" s="181"/>
      <c r="AM20" s="181"/>
      <c r="AN20" s="181"/>
      <c r="AO20" s="181"/>
      <c r="AP20" s="181"/>
      <c r="AQ20" s="181"/>
      <c r="AR20" s="181"/>
      <c r="AS20" s="181"/>
      <c r="AT20" s="181"/>
      <c r="AU20" s="181"/>
      <c r="AV20" s="181"/>
      <c r="AW20" s="181"/>
      <c r="AX20" s="181"/>
      <c r="AY20" s="181"/>
      <c r="AZ20" s="182"/>
      <c r="BC20">
        <f t="shared" si="0"/>
        <v>20</v>
      </c>
      <c r="BD20">
        <f t="shared" si="1"/>
        <v>17</v>
      </c>
      <c r="CZ20" s="34">
        <v>2</v>
      </c>
    </row>
    <row r="21" spans="3:104" ht="15" customHeight="1" x14ac:dyDescent="0.25">
      <c r="C21" s="177" t="e">
        <f>#REF!</f>
        <v>#REF!</v>
      </c>
      <c r="D21" s="178"/>
      <c r="E21" s="178"/>
      <c r="F21" s="178"/>
      <c r="G21" s="178"/>
      <c r="H21" s="178"/>
      <c r="I21" s="178"/>
      <c r="J21" s="178"/>
      <c r="K21" s="178"/>
      <c r="L21" s="178"/>
      <c r="M21" s="178"/>
      <c r="N21" s="178"/>
      <c r="O21" s="178"/>
      <c r="P21" s="179"/>
      <c r="Q21" s="180" t="e">
        <f>IF(#REF!=0," ",#REF!)</f>
        <v>#REF!</v>
      </c>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2"/>
      <c r="BC21">
        <f t="shared" si="0"/>
        <v>21</v>
      </c>
      <c r="BD21">
        <f t="shared" si="1"/>
        <v>17</v>
      </c>
      <c r="CZ21" s="34">
        <v>2</v>
      </c>
    </row>
    <row r="22" spans="3:104" x14ac:dyDescent="0.25">
      <c r="C22" s="177" t="e">
        <f>#REF!</f>
        <v>#REF!</v>
      </c>
      <c r="D22" s="178"/>
      <c r="E22" s="178"/>
      <c r="F22" s="178"/>
      <c r="G22" s="178"/>
      <c r="H22" s="178"/>
      <c r="I22" s="178"/>
      <c r="J22" s="178"/>
      <c r="K22" s="178"/>
      <c r="L22" s="178"/>
      <c r="M22" s="178"/>
      <c r="N22" s="178"/>
      <c r="O22" s="178"/>
      <c r="P22" s="179"/>
      <c r="Q22" s="180" t="e">
        <f>IF(#REF!=0," ",#REF!)</f>
        <v>#REF!</v>
      </c>
      <c r="R22" s="181"/>
      <c r="S22" s="181"/>
      <c r="T22" s="181"/>
      <c r="U22" s="181"/>
      <c r="V22" s="181"/>
      <c r="W22" s="181"/>
      <c r="X22" s="181"/>
      <c r="Y22" s="181"/>
      <c r="Z22" s="181"/>
      <c r="AA22" s="181"/>
      <c r="AB22" s="181"/>
      <c r="AC22" s="181"/>
      <c r="AD22" s="181"/>
      <c r="AE22" s="181"/>
      <c r="AF22" s="181"/>
      <c r="AG22" s="181"/>
      <c r="AH22" s="181"/>
      <c r="AI22" s="181"/>
      <c r="AJ22" s="181"/>
      <c r="AK22" s="181"/>
      <c r="AL22" s="181"/>
      <c r="AM22" s="181"/>
      <c r="AN22" s="181"/>
      <c r="AO22" s="181"/>
      <c r="AP22" s="181"/>
      <c r="AQ22" s="181"/>
      <c r="AR22" s="181"/>
      <c r="AS22" s="181"/>
      <c r="AT22" s="181"/>
      <c r="AU22" s="181"/>
      <c r="AV22" s="181"/>
      <c r="AW22" s="181"/>
      <c r="AX22" s="181"/>
      <c r="AY22" s="181"/>
      <c r="AZ22" s="182"/>
      <c r="BC22">
        <f t="shared" si="0"/>
        <v>22</v>
      </c>
      <c r="BD22">
        <f t="shared" si="1"/>
        <v>17</v>
      </c>
      <c r="CZ22" s="34">
        <v>2</v>
      </c>
    </row>
    <row r="23" spans="3:104" ht="15" customHeight="1" x14ac:dyDescent="0.25">
      <c r="C23" s="177" t="e">
        <f>#REF!</f>
        <v>#REF!</v>
      </c>
      <c r="D23" s="178"/>
      <c r="E23" s="178"/>
      <c r="F23" s="178"/>
      <c r="G23" s="178"/>
      <c r="H23" s="178"/>
      <c r="I23" s="178"/>
      <c r="J23" s="178"/>
      <c r="K23" s="178"/>
      <c r="L23" s="178"/>
      <c r="M23" s="178"/>
      <c r="N23" s="178"/>
      <c r="O23" s="178"/>
      <c r="P23" s="179"/>
      <c r="Q23" s="180" t="e">
        <f>IF(#REF!=0," ",#REF!)</f>
        <v>#REF!</v>
      </c>
      <c r="R23" s="181"/>
      <c r="S23" s="181"/>
      <c r="T23" s="181"/>
      <c r="U23" s="181"/>
      <c r="V23" s="181"/>
      <c r="W23" s="181"/>
      <c r="X23" s="181"/>
      <c r="Y23" s="181"/>
      <c r="Z23" s="181"/>
      <c r="AA23" s="181"/>
      <c r="AB23" s="181"/>
      <c r="AC23" s="181"/>
      <c r="AD23" s="181"/>
      <c r="AE23" s="181"/>
      <c r="AF23" s="181"/>
      <c r="AG23" s="181"/>
      <c r="AH23" s="181"/>
      <c r="AI23" s="181"/>
      <c r="AJ23" s="181"/>
      <c r="AK23" s="181"/>
      <c r="AL23" s="181"/>
      <c r="AM23" s="181"/>
      <c r="AN23" s="181"/>
      <c r="AO23" s="181"/>
      <c r="AP23" s="181"/>
      <c r="AQ23" s="181"/>
      <c r="AR23" s="181"/>
      <c r="AS23" s="181"/>
      <c r="AT23" s="181"/>
      <c r="AU23" s="181"/>
      <c r="AV23" s="181"/>
      <c r="AW23" s="181"/>
      <c r="AX23" s="181"/>
      <c r="AY23" s="181"/>
      <c r="AZ23" s="182"/>
      <c r="BC23">
        <f t="shared" si="0"/>
        <v>23</v>
      </c>
      <c r="BD23">
        <f t="shared" si="1"/>
        <v>17</v>
      </c>
      <c r="CZ23" s="34">
        <v>2</v>
      </c>
    </row>
    <row r="24" spans="3:104" ht="15" customHeight="1" x14ac:dyDescent="0.25">
      <c r="C24" s="177" t="e">
        <f>#REF!</f>
        <v>#REF!</v>
      </c>
      <c r="D24" s="178"/>
      <c r="E24" s="178"/>
      <c r="F24" s="178"/>
      <c r="G24" s="178"/>
      <c r="H24" s="178"/>
      <c r="I24" s="178"/>
      <c r="J24" s="178"/>
      <c r="K24" s="178"/>
      <c r="L24" s="178"/>
      <c r="M24" s="178"/>
      <c r="N24" s="178"/>
      <c r="O24" s="178"/>
      <c r="P24" s="179"/>
      <c r="Q24" s="180" t="e">
        <f>IF(#REF!=0," ",#REF!)</f>
        <v>#REF!</v>
      </c>
      <c r="R24" s="181"/>
      <c r="S24" s="181"/>
      <c r="T24" s="181"/>
      <c r="U24" s="181"/>
      <c r="V24" s="181"/>
      <c r="W24" s="181"/>
      <c r="X24" s="181"/>
      <c r="Y24" s="181"/>
      <c r="Z24" s="181"/>
      <c r="AA24" s="181"/>
      <c r="AB24" s="181"/>
      <c r="AC24" s="181"/>
      <c r="AD24" s="181"/>
      <c r="AE24" s="181"/>
      <c r="AF24" s="181"/>
      <c r="AG24" s="181"/>
      <c r="AH24" s="181"/>
      <c r="AI24" s="181"/>
      <c r="AJ24" s="181"/>
      <c r="AK24" s="181"/>
      <c r="AL24" s="181"/>
      <c r="AM24" s="181"/>
      <c r="AN24" s="181"/>
      <c r="AO24" s="181"/>
      <c r="AP24" s="181"/>
      <c r="AQ24" s="181"/>
      <c r="AR24" s="181"/>
      <c r="AS24" s="181"/>
      <c r="AT24" s="181"/>
      <c r="AU24" s="181"/>
      <c r="AV24" s="181"/>
      <c r="AW24" s="181"/>
      <c r="AX24" s="181"/>
      <c r="AY24" s="181"/>
      <c r="AZ24" s="182"/>
      <c r="BC24">
        <f t="shared" si="0"/>
        <v>24</v>
      </c>
      <c r="BD24">
        <f t="shared" si="1"/>
        <v>17</v>
      </c>
      <c r="CZ24" s="34">
        <v>2</v>
      </c>
    </row>
    <row r="25" spans="3:104" x14ac:dyDescent="0.25">
      <c r="C25" s="177" t="e">
        <f>#REF!</f>
        <v>#REF!</v>
      </c>
      <c r="D25" s="178"/>
      <c r="E25" s="178"/>
      <c r="F25" s="178"/>
      <c r="G25" s="178"/>
      <c r="H25" s="178"/>
      <c r="I25" s="178"/>
      <c r="J25" s="178"/>
      <c r="K25" s="178"/>
      <c r="L25" s="178"/>
      <c r="M25" s="178"/>
      <c r="N25" s="178"/>
      <c r="O25" s="178"/>
      <c r="P25" s="179"/>
      <c r="Q25" s="180" t="e">
        <f>IF(#REF!=0," ",#REF!)</f>
        <v>#REF!</v>
      </c>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2"/>
      <c r="CZ25" s="34"/>
    </row>
    <row r="26" spans="3:104" ht="15" customHeight="1" x14ac:dyDescent="0.25">
      <c r="C26" s="177" t="e">
        <f>#REF!</f>
        <v>#REF!</v>
      </c>
      <c r="D26" s="178"/>
      <c r="E26" s="178"/>
      <c r="F26" s="178"/>
      <c r="G26" s="178"/>
      <c r="H26" s="178"/>
      <c r="I26" s="178"/>
      <c r="J26" s="178"/>
      <c r="K26" s="178"/>
      <c r="L26" s="178"/>
      <c r="M26" s="178"/>
      <c r="N26" s="178"/>
      <c r="O26" s="178"/>
      <c r="P26" s="179"/>
      <c r="Q26" s="180" t="e">
        <f>IF(#REF!=0," ",#REF!)</f>
        <v>#REF!</v>
      </c>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2"/>
      <c r="CZ26" s="34"/>
    </row>
    <row r="27" spans="3:104" x14ac:dyDescent="0.25">
      <c r="C27" s="177" t="e">
        <f>#REF!</f>
        <v>#REF!</v>
      </c>
      <c r="D27" s="178"/>
      <c r="E27" s="178"/>
      <c r="F27" s="178"/>
      <c r="G27" s="178"/>
      <c r="H27" s="178"/>
      <c r="I27" s="178"/>
      <c r="J27" s="178"/>
      <c r="K27" s="178"/>
      <c r="L27" s="178"/>
      <c r="M27" s="178"/>
      <c r="N27" s="178"/>
      <c r="O27" s="178"/>
      <c r="P27" s="179"/>
      <c r="Q27" s="180" t="e">
        <f>IF(#REF!=0," ",#REF!)</f>
        <v>#REF!</v>
      </c>
      <c r="R27" s="181"/>
      <c r="S27" s="181"/>
      <c r="T27" s="181"/>
      <c r="U27" s="181"/>
      <c r="V27" s="181"/>
      <c r="W27" s="181"/>
      <c r="X27" s="181"/>
      <c r="Y27" s="181"/>
      <c r="Z27" s="181"/>
      <c r="AA27" s="181"/>
      <c r="AB27" s="181"/>
      <c r="AC27" s="181"/>
      <c r="AD27" s="181"/>
      <c r="AE27" s="181"/>
      <c r="AF27" s="181"/>
      <c r="AG27" s="181"/>
      <c r="AH27" s="181"/>
      <c r="AI27" s="181"/>
      <c r="AJ27" s="181"/>
      <c r="AK27" s="181"/>
      <c r="AL27" s="181"/>
      <c r="AM27" s="181"/>
      <c r="AN27" s="181"/>
      <c r="AO27" s="181"/>
      <c r="AP27" s="181"/>
      <c r="AQ27" s="181"/>
      <c r="AR27" s="181"/>
      <c r="AS27" s="181"/>
      <c r="AT27" s="181"/>
      <c r="AU27" s="181"/>
      <c r="AV27" s="181"/>
      <c r="AW27" s="181"/>
      <c r="AX27" s="181"/>
      <c r="AY27" s="181"/>
      <c r="AZ27" s="182"/>
      <c r="CZ27" s="34"/>
    </row>
    <row r="28" spans="3:104" x14ac:dyDescent="0.25">
      <c r="C28" s="177" t="e">
        <f>#REF!</f>
        <v>#REF!</v>
      </c>
      <c r="D28" s="178"/>
      <c r="E28" s="178"/>
      <c r="F28" s="178"/>
      <c r="G28" s="178"/>
      <c r="H28" s="178"/>
      <c r="I28" s="178"/>
      <c r="J28" s="178"/>
      <c r="K28" s="178"/>
      <c r="L28" s="178"/>
      <c r="M28" s="178"/>
      <c r="N28" s="178"/>
      <c r="O28" s="178"/>
      <c r="P28" s="179"/>
      <c r="Q28" s="183" t="e">
        <f>IF(#REF!=0," ",#REF!)</f>
        <v>#REF!</v>
      </c>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5"/>
      <c r="CZ28" s="34"/>
    </row>
    <row r="29" spans="3:104" ht="33" customHeight="1" x14ac:dyDescent="0.25">
      <c r="C29" s="186" t="e">
        <f>#REF!</f>
        <v>#REF!</v>
      </c>
      <c r="D29" s="187"/>
      <c r="E29" s="187"/>
      <c r="F29" s="187"/>
      <c r="G29" s="187"/>
      <c r="H29" s="187"/>
      <c r="I29" s="187"/>
      <c r="J29" s="187"/>
      <c r="K29" s="187"/>
      <c r="L29" s="187"/>
      <c r="M29" s="187"/>
      <c r="N29" s="187"/>
      <c r="O29" s="187"/>
      <c r="P29" s="187"/>
      <c r="Q29" s="183" t="e">
        <f>IF(#REF!=0," ",#REF!)</f>
        <v>#REF!</v>
      </c>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5"/>
      <c r="CZ29" s="34"/>
    </row>
    <row r="30" spans="3:104" x14ac:dyDescent="0.25">
      <c r="C30" s="177" t="e">
        <f>#REF!</f>
        <v>#REF!</v>
      </c>
      <c r="D30" s="178"/>
      <c r="E30" s="178"/>
      <c r="F30" s="178"/>
      <c r="G30" s="178"/>
      <c r="H30" s="178"/>
      <c r="I30" s="178"/>
      <c r="J30" s="178"/>
      <c r="K30" s="178"/>
      <c r="L30" s="178"/>
      <c r="M30" s="178"/>
      <c r="N30" s="178"/>
      <c r="O30" s="178"/>
      <c r="P30" s="179"/>
      <c r="Q30" s="180" t="e">
        <f>IF(#REF!=0," ",#REF!)</f>
        <v>#REF!</v>
      </c>
      <c r="R30" s="181"/>
      <c r="S30" s="181"/>
      <c r="T30" s="181"/>
      <c r="U30" s="181"/>
      <c r="V30" s="181"/>
      <c r="W30" s="181"/>
      <c r="X30" s="181"/>
      <c r="Y30" s="181"/>
      <c r="Z30" s="181"/>
      <c r="AA30" s="181"/>
      <c r="AB30" s="181"/>
      <c r="AC30" s="181"/>
      <c r="AD30" s="181"/>
      <c r="AE30" s="181"/>
      <c r="AF30" s="181"/>
      <c r="AG30" s="181"/>
      <c r="AH30" s="181"/>
      <c r="AI30" s="181"/>
      <c r="AJ30" s="181"/>
      <c r="AK30" s="181"/>
      <c r="AL30" s="181"/>
      <c r="AM30" s="181"/>
      <c r="AN30" s="181"/>
      <c r="AO30" s="181"/>
      <c r="AP30" s="181"/>
      <c r="AQ30" s="181"/>
      <c r="AR30" s="181"/>
      <c r="AS30" s="181"/>
      <c r="AT30" s="181"/>
      <c r="AU30" s="181"/>
      <c r="AV30" s="181"/>
      <c r="AW30" s="181"/>
      <c r="AX30" s="181"/>
      <c r="AY30" s="181"/>
      <c r="AZ30" s="182"/>
      <c r="CZ30" s="34"/>
    </row>
    <row r="31" spans="3:104" x14ac:dyDescent="0.25">
      <c r="C31" s="177" t="e">
        <f>#REF!</f>
        <v>#REF!</v>
      </c>
      <c r="D31" s="178"/>
      <c r="E31" s="178"/>
      <c r="F31" s="178"/>
      <c r="G31" s="178"/>
      <c r="H31" s="178"/>
      <c r="I31" s="178"/>
      <c r="J31" s="178"/>
      <c r="K31" s="178"/>
      <c r="L31" s="178"/>
      <c r="M31" s="178"/>
      <c r="N31" s="178"/>
      <c r="O31" s="178"/>
      <c r="P31" s="179"/>
      <c r="Q31" s="180" t="e">
        <f>IF(#REF!=0," ",#REF!)</f>
        <v>#REF!</v>
      </c>
      <c r="R31" s="181"/>
      <c r="S31" s="181"/>
      <c r="T31" s="181"/>
      <c r="U31" s="181"/>
      <c r="V31" s="181"/>
      <c r="W31" s="181"/>
      <c r="X31" s="181"/>
      <c r="Y31" s="181"/>
      <c r="Z31" s="181"/>
      <c r="AA31" s="181"/>
      <c r="AB31" s="181"/>
      <c r="AC31" s="181"/>
      <c r="AD31" s="181"/>
      <c r="AE31" s="181"/>
      <c r="AF31" s="181"/>
      <c r="AG31" s="181"/>
      <c r="AH31" s="181"/>
      <c r="AI31" s="181"/>
      <c r="AJ31" s="181"/>
      <c r="AK31" s="181"/>
      <c r="AL31" s="181"/>
      <c r="AM31" s="181"/>
      <c r="AN31" s="181"/>
      <c r="AO31" s="181"/>
      <c r="AP31" s="181"/>
      <c r="AQ31" s="181"/>
      <c r="AR31" s="181"/>
      <c r="AS31" s="181"/>
      <c r="AT31" s="181"/>
      <c r="AU31" s="181"/>
      <c r="AV31" s="181"/>
      <c r="AW31" s="181"/>
      <c r="AX31" s="181"/>
      <c r="AY31" s="181"/>
      <c r="AZ31" s="182"/>
      <c r="CZ31" s="34"/>
    </row>
    <row r="32" spans="3:104" ht="14.25" customHeight="1" x14ac:dyDescent="0.25">
      <c r="C32" s="15"/>
      <c r="D32" s="15"/>
      <c r="E32" s="15"/>
      <c r="F32" s="15"/>
      <c r="G32" s="15"/>
      <c r="H32" s="15"/>
      <c r="I32" s="15"/>
      <c r="J32" s="15"/>
      <c r="K32" s="15"/>
      <c r="L32" s="15"/>
      <c r="M32" s="15"/>
      <c r="N32" s="15"/>
      <c r="O32" s="15"/>
      <c r="P32" s="15"/>
      <c r="Q32" s="36"/>
      <c r="R32" s="36"/>
      <c r="S32" s="36"/>
      <c r="T32" s="36"/>
      <c r="U32" s="36"/>
      <c r="V32" s="36"/>
      <c r="W32" s="36"/>
      <c r="X32" s="36"/>
      <c r="Y32" s="36"/>
      <c r="Z32" s="36"/>
      <c r="AA32" s="36"/>
      <c r="AB32" s="36"/>
      <c r="AC32" s="36"/>
      <c r="AD32" s="36"/>
      <c r="AE32" s="36"/>
      <c r="AF32" s="36"/>
      <c r="AG32" s="36"/>
      <c r="AH32" s="36"/>
      <c r="AI32" s="36"/>
      <c r="AJ32" s="36"/>
      <c r="AK32" s="36"/>
      <c r="AL32" s="36"/>
      <c r="AM32" s="36"/>
      <c r="AN32" s="36"/>
      <c r="AO32" s="36"/>
      <c r="AP32" s="36"/>
      <c r="AQ32" s="36"/>
      <c r="AR32" s="36"/>
      <c r="AS32" s="36"/>
      <c r="AT32" s="36"/>
      <c r="AU32" s="36"/>
      <c r="AV32" s="36"/>
      <c r="AW32" s="36"/>
      <c r="AX32" s="36"/>
      <c r="AY32" s="36"/>
      <c r="CZ32" s="34"/>
    </row>
    <row r="33" spans="3:104" ht="15" customHeight="1" x14ac:dyDescent="0.25">
      <c r="C33" s="188" t="s">
        <v>124</v>
      </c>
      <c r="D33" s="189"/>
      <c r="E33" s="189"/>
      <c r="F33" s="189"/>
      <c r="G33" s="189"/>
      <c r="H33" s="189"/>
      <c r="I33" s="189"/>
      <c r="J33" s="189"/>
      <c r="K33" s="189"/>
      <c r="L33" s="189"/>
      <c r="M33" s="189"/>
      <c r="N33" s="189"/>
      <c r="O33" s="189"/>
      <c r="P33" s="190"/>
      <c r="Q33" s="8"/>
      <c r="R33" s="7"/>
      <c r="S33" s="7"/>
      <c r="T33" s="7"/>
      <c r="U33" s="7"/>
      <c r="V33" s="7"/>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7"/>
      <c r="CZ33" s="34">
        <v>0</v>
      </c>
    </row>
    <row r="34" spans="3:104" x14ac:dyDescent="0.25">
      <c r="C34" s="37"/>
      <c r="D34" s="37"/>
      <c r="E34" s="37"/>
      <c r="F34" s="37"/>
      <c r="G34" s="37"/>
      <c r="H34" s="37"/>
      <c r="I34" s="37"/>
      <c r="J34" s="37"/>
      <c r="K34" s="37"/>
      <c r="L34" s="38"/>
      <c r="M34" s="37"/>
      <c r="N34" s="37"/>
      <c r="O34" s="37"/>
      <c r="P34" s="37"/>
      <c r="Q34" s="37"/>
      <c r="R34" s="37"/>
      <c r="S34" s="37"/>
      <c r="T34" s="37"/>
      <c r="U34" s="37"/>
      <c r="V34" s="37"/>
      <c r="W34" s="37"/>
      <c r="X34" s="37"/>
      <c r="Y34" s="37"/>
      <c r="Z34" s="38"/>
      <c r="AA34" s="37"/>
      <c r="AB34" s="37"/>
      <c r="AC34" s="37"/>
      <c r="AD34" s="37"/>
      <c r="AE34" s="37"/>
      <c r="AF34" s="37"/>
      <c r="AG34" s="37"/>
      <c r="AH34" s="37"/>
      <c r="AI34" s="37"/>
      <c r="AJ34" s="37"/>
      <c r="AK34" s="37"/>
      <c r="AL34" s="37"/>
      <c r="AM34" s="37"/>
      <c r="AN34" s="38"/>
      <c r="AO34" s="37"/>
      <c r="AP34" s="37"/>
      <c r="AQ34" s="37"/>
      <c r="AR34" s="37"/>
      <c r="AS34" s="37"/>
      <c r="AT34" s="37"/>
      <c r="AU34" s="37"/>
      <c r="AV34" s="37"/>
      <c r="AW34" s="37"/>
      <c r="AX34" s="37"/>
      <c r="AY34" s="38"/>
      <c r="AZ34" s="37"/>
      <c r="CZ34" s="34">
        <v>0</v>
      </c>
    </row>
    <row r="35" spans="3:104" ht="15" customHeight="1" x14ac:dyDescent="0.25">
      <c r="C35" s="243" t="s">
        <v>125</v>
      </c>
      <c r="D35" s="244"/>
      <c r="E35" s="244"/>
      <c r="F35" s="244"/>
      <c r="G35" s="244"/>
      <c r="H35" s="244"/>
      <c r="I35" s="244"/>
      <c r="J35" s="244"/>
      <c r="K35" s="244"/>
      <c r="L35" s="244"/>
      <c r="M35" s="244"/>
      <c r="N35" s="244"/>
      <c r="O35" s="244"/>
      <c r="P35" s="244"/>
      <c r="Q35" s="244"/>
      <c r="R35" s="244"/>
      <c r="S35" s="244"/>
      <c r="T35" s="244"/>
      <c r="U35" s="244"/>
      <c r="V35" s="244"/>
      <c r="W35" s="244"/>
      <c r="X35" s="244"/>
      <c r="Y35" s="245"/>
      <c r="Z35" s="261" t="s">
        <v>126</v>
      </c>
      <c r="AA35" s="262"/>
      <c r="AB35" s="262"/>
      <c r="AC35" s="263"/>
      <c r="AD35" s="243" t="s">
        <v>127</v>
      </c>
      <c r="AE35" s="244"/>
      <c r="AF35" s="244"/>
      <c r="AG35" s="244"/>
      <c r="AH35" s="244"/>
      <c r="AI35" s="244"/>
      <c r="AJ35" s="244"/>
      <c r="AK35" s="244"/>
      <c r="AL35" s="244"/>
      <c r="AM35" s="244"/>
      <c r="AN35" s="244"/>
      <c r="AO35" s="244"/>
      <c r="AP35" s="244"/>
      <c r="AQ35" s="244"/>
      <c r="AR35" s="244"/>
      <c r="AS35" s="244"/>
      <c r="AT35" s="244"/>
      <c r="AU35" s="244"/>
      <c r="AV35" s="244"/>
      <c r="AW35" s="244"/>
      <c r="AX35" s="244"/>
      <c r="AY35" s="244"/>
      <c r="AZ35" s="245"/>
      <c r="CZ35" s="34">
        <v>0</v>
      </c>
    </row>
    <row r="36" spans="3:104" ht="15" customHeight="1" x14ac:dyDescent="0.25">
      <c r="C36" s="255" t="s">
        <v>128</v>
      </c>
      <c r="D36" s="256"/>
      <c r="E36" s="256"/>
      <c r="F36" s="256"/>
      <c r="G36" s="256"/>
      <c r="H36" s="256"/>
      <c r="I36" s="256"/>
      <c r="J36" s="256"/>
      <c r="K36" s="256"/>
      <c r="L36" s="256"/>
      <c r="M36" s="256"/>
      <c r="N36" s="256"/>
      <c r="O36" s="256"/>
      <c r="P36" s="256"/>
      <c r="Q36" s="256"/>
      <c r="R36" s="256"/>
      <c r="S36" s="256"/>
      <c r="T36" s="256"/>
      <c r="U36" s="256"/>
      <c r="V36" s="256"/>
      <c r="W36" s="256"/>
      <c r="X36" s="256"/>
      <c r="Y36" s="257"/>
      <c r="Z36" s="258"/>
      <c r="AA36" s="259"/>
      <c r="AB36" s="259"/>
      <c r="AC36" s="260"/>
      <c r="AD36" s="255"/>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7"/>
      <c r="CZ36" s="34">
        <v>0</v>
      </c>
    </row>
    <row r="37" spans="3:104" x14ac:dyDescent="0.25">
      <c r="C37" s="264" t="s">
        <v>129</v>
      </c>
      <c r="D37" s="265"/>
      <c r="E37" s="265"/>
      <c r="F37" s="265"/>
      <c r="G37" s="265"/>
      <c r="H37" s="265"/>
      <c r="I37" s="265"/>
      <c r="J37" s="265"/>
      <c r="K37" s="265"/>
      <c r="L37" s="265"/>
      <c r="M37" s="265"/>
      <c r="N37" s="265"/>
      <c r="O37" s="265"/>
      <c r="P37" s="265"/>
      <c r="Q37" s="265"/>
      <c r="R37" s="265"/>
      <c r="S37" s="265"/>
      <c r="T37" s="265"/>
      <c r="U37" s="265"/>
      <c r="V37" s="265"/>
      <c r="W37" s="265"/>
      <c r="X37" s="265"/>
      <c r="Y37" s="266"/>
      <c r="Z37" s="267"/>
      <c r="AA37" s="268"/>
      <c r="AB37" s="268"/>
      <c r="AC37" s="269"/>
      <c r="AD37" s="264"/>
      <c r="AE37" s="265"/>
      <c r="AF37" s="265"/>
      <c r="AG37" s="265"/>
      <c r="AH37" s="265"/>
      <c r="AI37" s="265"/>
      <c r="AJ37" s="265"/>
      <c r="AK37" s="265"/>
      <c r="AL37" s="265"/>
      <c r="AM37" s="265"/>
      <c r="AN37" s="265"/>
      <c r="AO37" s="265"/>
      <c r="AP37" s="265"/>
      <c r="AQ37" s="265"/>
      <c r="AR37" s="265"/>
      <c r="AS37" s="265"/>
      <c r="AT37" s="265"/>
      <c r="AU37" s="265"/>
      <c r="AV37" s="265"/>
      <c r="AW37" s="265"/>
      <c r="AX37" s="265"/>
      <c r="AY37" s="265"/>
      <c r="AZ37" s="266"/>
      <c r="CZ37" s="34">
        <v>0</v>
      </c>
    </row>
    <row r="38" spans="3:104" x14ac:dyDescent="0.25">
      <c r="C38" s="255" t="s">
        <v>130</v>
      </c>
      <c r="D38" s="256"/>
      <c r="E38" s="256"/>
      <c r="F38" s="256"/>
      <c r="G38" s="256"/>
      <c r="H38" s="256"/>
      <c r="I38" s="256"/>
      <c r="J38" s="256"/>
      <c r="K38" s="256"/>
      <c r="L38" s="256"/>
      <c r="M38" s="256"/>
      <c r="N38" s="256"/>
      <c r="O38" s="256"/>
      <c r="P38" s="256"/>
      <c r="Q38" s="256"/>
      <c r="R38" s="256"/>
      <c r="S38" s="256"/>
      <c r="T38" s="256"/>
      <c r="U38" s="256"/>
      <c r="V38" s="256"/>
      <c r="W38" s="256"/>
      <c r="X38" s="256"/>
      <c r="Y38" s="257"/>
      <c r="Z38" s="258"/>
      <c r="AA38" s="259"/>
      <c r="AB38" s="259"/>
      <c r="AC38" s="260"/>
      <c r="AD38" s="255"/>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7"/>
      <c r="CZ38" s="34">
        <v>0</v>
      </c>
    </row>
    <row r="39" spans="3:104" x14ac:dyDescent="0.25">
      <c r="C39" s="194" t="s">
        <v>92</v>
      </c>
      <c r="D39" s="195"/>
      <c r="E39" s="195"/>
      <c r="F39" s="195"/>
      <c r="G39" s="195"/>
      <c r="H39" s="195"/>
      <c r="I39" s="195"/>
      <c r="J39" s="195"/>
      <c r="K39" s="195"/>
      <c r="L39" s="195"/>
      <c r="M39" s="195"/>
      <c r="N39" s="195"/>
      <c r="O39" s="195"/>
      <c r="P39" s="195"/>
      <c r="Q39" s="195"/>
      <c r="R39" s="195"/>
      <c r="S39" s="195"/>
      <c r="T39" s="195"/>
      <c r="U39" s="195"/>
      <c r="V39" s="195"/>
      <c r="W39" s="195"/>
      <c r="X39" s="195"/>
      <c r="Y39" s="195"/>
      <c r="Z39" s="195"/>
      <c r="AA39" s="195"/>
      <c r="AB39" s="195"/>
      <c r="AC39" s="195"/>
      <c r="AD39" s="195"/>
      <c r="AE39" s="195"/>
      <c r="AF39" s="195"/>
      <c r="AG39" s="195"/>
      <c r="AH39" s="195"/>
      <c r="AI39" s="195"/>
      <c r="AJ39" s="195"/>
      <c r="AK39" s="195"/>
      <c r="AL39" s="195"/>
      <c r="AM39" s="195"/>
      <c r="AN39" s="195"/>
      <c r="AO39" s="195"/>
      <c r="AP39" s="195"/>
      <c r="AQ39" s="195"/>
      <c r="AR39" s="195"/>
      <c r="AS39" s="195"/>
      <c r="AT39" s="195"/>
      <c r="AU39" s="195"/>
      <c r="AV39" s="196"/>
      <c r="AW39" s="197" t="s">
        <v>91</v>
      </c>
      <c r="AX39" s="198"/>
      <c r="AY39" s="197" t="s">
        <v>90</v>
      </c>
      <c r="AZ39" s="198"/>
      <c r="CZ39" s="34">
        <v>1</v>
      </c>
    </row>
    <row r="40" spans="3:104" x14ac:dyDescent="0.25">
      <c r="C40" s="39"/>
      <c r="D40" s="39"/>
      <c r="E40" s="39"/>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CZ40" s="34">
        <v>0</v>
      </c>
    </row>
    <row r="41" spans="3:104" ht="15" customHeight="1" x14ac:dyDescent="0.25">
      <c r="C41" s="253" t="s">
        <v>140</v>
      </c>
      <c r="D41" s="253"/>
      <c r="E41" s="253"/>
      <c r="F41" s="253"/>
      <c r="G41" s="253"/>
      <c r="H41" s="253"/>
      <c r="I41" s="253"/>
      <c r="J41" s="253"/>
      <c r="K41" s="253"/>
      <c r="L41" s="253"/>
      <c r="M41" s="253"/>
      <c r="N41" s="253"/>
      <c r="O41" s="253"/>
      <c r="P41" s="253"/>
      <c r="Q41" s="253"/>
      <c r="R41" s="253"/>
      <c r="S41" s="253"/>
      <c r="T41" s="253"/>
      <c r="U41" s="253"/>
      <c r="V41" s="253"/>
      <c r="W41" s="253"/>
      <c r="X41" s="253"/>
      <c r="Y41" s="253"/>
      <c r="Z41" s="253"/>
      <c r="AA41" s="253"/>
      <c r="AB41" s="253"/>
      <c r="AC41" s="253"/>
      <c r="AD41" s="253"/>
      <c r="AE41" s="253"/>
      <c r="AF41" s="253"/>
      <c r="AG41" s="253"/>
      <c r="AH41" s="253"/>
      <c r="AI41" s="253"/>
      <c r="AJ41" s="253"/>
      <c r="AK41" s="253"/>
      <c r="AL41" s="253"/>
      <c r="AM41" s="253"/>
      <c r="AN41" s="253"/>
      <c r="AO41" s="253"/>
      <c r="AP41" s="253"/>
      <c r="AQ41" s="253"/>
      <c r="AR41" s="253"/>
      <c r="AS41" s="253"/>
      <c r="AT41" s="253"/>
      <c r="AU41" s="253"/>
      <c r="AV41" s="253"/>
      <c r="AW41" s="253"/>
      <c r="AX41" s="253"/>
      <c r="AY41" s="253"/>
      <c r="AZ41" s="253"/>
      <c r="CZ41" s="34">
        <v>0</v>
      </c>
    </row>
    <row r="42" spans="3:104" x14ac:dyDescent="0.25">
      <c r="C42" s="253"/>
      <c r="D42" s="253"/>
      <c r="E42" s="253"/>
      <c r="F42" s="253"/>
      <c r="G42" s="253"/>
      <c r="H42" s="253"/>
      <c r="I42" s="253"/>
      <c r="J42" s="253"/>
      <c r="K42" s="253"/>
      <c r="L42" s="253"/>
      <c r="M42" s="253"/>
      <c r="N42" s="253"/>
      <c r="O42" s="253"/>
      <c r="P42" s="253"/>
      <c r="Q42" s="253"/>
      <c r="R42" s="253"/>
      <c r="S42" s="253"/>
      <c r="T42" s="253"/>
      <c r="U42" s="253"/>
      <c r="V42" s="253"/>
      <c r="W42" s="253"/>
      <c r="X42" s="253"/>
      <c r="Y42" s="253"/>
      <c r="Z42" s="253"/>
      <c r="AA42" s="253"/>
      <c r="AB42" s="253"/>
      <c r="AC42" s="253"/>
      <c r="AD42" s="253"/>
      <c r="AE42" s="253"/>
      <c r="AF42" s="253"/>
      <c r="AG42" s="253"/>
      <c r="AH42" s="253"/>
      <c r="AI42" s="253"/>
      <c r="AJ42" s="253"/>
      <c r="AK42" s="253"/>
      <c r="AL42" s="253"/>
      <c r="AM42" s="253"/>
      <c r="AN42" s="253"/>
      <c r="AO42" s="253"/>
      <c r="AP42" s="253"/>
      <c r="AQ42" s="253"/>
      <c r="AR42" s="253"/>
      <c r="AS42" s="253"/>
      <c r="AT42" s="253"/>
      <c r="AU42" s="253"/>
      <c r="AV42" s="253"/>
      <c r="AW42" s="253"/>
      <c r="AX42" s="253"/>
      <c r="AY42" s="253"/>
      <c r="AZ42" s="253"/>
      <c r="CZ42" s="34">
        <v>0</v>
      </c>
    </row>
    <row r="43" spans="3:104" x14ac:dyDescent="0.25">
      <c r="C43" s="37"/>
      <c r="D43" s="37"/>
      <c r="E43" s="3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37"/>
      <c r="AU43" s="37"/>
      <c r="AV43" s="37"/>
      <c r="AW43" s="37"/>
      <c r="AX43" s="37"/>
      <c r="AY43" s="37"/>
      <c r="AZ43" s="37"/>
      <c r="CZ43" s="34">
        <v>0</v>
      </c>
    </row>
    <row r="44" spans="3:104" ht="15" customHeight="1" x14ac:dyDescent="0.25">
      <c r="C44" s="254" t="s">
        <v>131</v>
      </c>
      <c r="D44" s="254"/>
      <c r="E44" s="254"/>
      <c r="F44" s="254"/>
      <c r="G44" s="254"/>
      <c r="H44" s="254"/>
      <c r="I44" s="254"/>
      <c r="J44" s="254"/>
      <c r="K44" s="254"/>
      <c r="L44" s="254"/>
      <c r="M44" s="254"/>
      <c r="N44" s="254"/>
      <c r="O44" s="254"/>
      <c r="P44" s="254"/>
      <c r="Q44" s="254"/>
      <c r="R44" s="254"/>
      <c r="S44" s="254"/>
      <c r="T44" s="254"/>
      <c r="U44" s="254"/>
      <c r="V44" s="254"/>
      <c r="W44" s="254"/>
      <c r="X44" s="254"/>
      <c r="Y44" s="254"/>
      <c r="Z44" s="254"/>
      <c r="AA44" s="254"/>
      <c r="AB44" s="254"/>
      <c r="AC44" s="254"/>
      <c r="AD44" s="254"/>
      <c r="AE44" s="254"/>
      <c r="AF44" s="254"/>
      <c r="AG44" s="254"/>
      <c r="AH44" s="254"/>
      <c r="AI44" s="254"/>
      <c r="AJ44" s="254"/>
      <c r="AK44" s="254"/>
      <c r="AL44" s="254"/>
      <c r="AM44" s="254"/>
      <c r="AN44" s="254"/>
      <c r="AO44" s="254"/>
      <c r="AP44" s="254"/>
      <c r="AQ44" s="254"/>
      <c r="AR44" s="254"/>
      <c r="AS44" s="254"/>
      <c r="AT44" s="254"/>
      <c r="AU44" s="254"/>
      <c r="AV44" s="254"/>
      <c r="AW44" s="254"/>
      <c r="AX44" s="254"/>
      <c r="AY44" s="254"/>
      <c r="AZ44" s="254"/>
      <c r="CZ44" s="34">
        <v>0</v>
      </c>
    </row>
    <row r="45" spans="3:104" x14ac:dyDescent="0.25">
      <c r="C45" s="254" t="s">
        <v>132</v>
      </c>
      <c r="D45" s="254"/>
      <c r="E45" s="254"/>
      <c r="F45" s="254"/>
      <c r="G45" s="254"/>
      <c r="H45" s="254"/>
      <c r="I45" s="254"/>
      <c r="J45" s="254"/>
      <c r="K45" s="254"/>
      <c r="L45" s="254"/>
      <c r="M45" s="254"/>
      <c r="N45" s="254"/>
      <c r="O45" s="254"/>
      <c r="P45" s="254"/>
      <c r="Q45" s="254"/>
      <c r="R45" s="254"/>
      <c r="S45" s="254"/>
      <c r="T45" s="254"/>
      <c r="U45" s="254"/>
      <c r="V45" s="254"/>
      <c r="W45" s="254"/>
      <c r="X45" s="254"/>
      <c r="Y45" s="254"/>
      <c r="Z45" s="254"/>
      <c r="AA45" s="254"/>
      <c r="AB45" s="254"/>
      <c r="AC45" s="254"/>
      <c r="AD45" s="254"/>
      <c r="AE45" s="254"/>
      <c r="AF45" s="254"/>
      <c r="AG45" s="254"/>
      <c r="AH45" s="254"/>
      <c r="AI45" s="254"/>
      <c r="AJ45" s="254"/>
      <c r="AK45" s="254"/>
      <c r="AL45" s="254"/>
      <c r="AM45" s="254"/>
      <c r="AN45" s="254"/>
      <c r="AO45" s="254"/>
      <c r="AP45" s="254"/>
      <c r="AQ45" s="254"/>
      <c r="AR45" s="254"/>
      <c r="AS45" s="254"/>
      <c r="AT45" s="254"/>
      <c r="AU45" s="254"/>
      <c r="AV45" s="254"/>
      <c r="AW45" s="254"/>
      <c r="AX45" s="254"/>
      <c r="AY45" s="254"/>
      <c r="AZ45" s="254"/>
      <c r="CZ45" s="34">
        <v>0</v>
      </c>
    </row>
    <row r="46" spans="3:104" x14ac:dyDescent="0.25">
      <c r="C46" s="39"/>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CZ46" s="34">
        <v>0</v>
      </c>
    </row>
    <row r="47" spans="3:104" x14ac:dyDescent="0.25">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CZ47" s="34">
        <v>0</v>
      </c>
    </row>
    <row r="48" spans="3:104" x14ac:dyDescent="0.25">
      <c r="C48" s="188" t="s">
        <v>133</v>
      </c>
      <c r="D48" s="189"/>
      <c r="E48" s="189"/>
      <c r="F48" s="189"/>
      <c r="G48" s="189"/>
      <c r="H48" s="189"/>
      <c r="I48" s="189"/>
      <c r="J48" s="189"/>
      <c r="K48" s="189"/>
      <c r="L48" s="189"/>
      <c r="M48" s="189"/>
      <c r="N48" s="189"/>
      <c r="O48" s="189"/>
      <c r="P48" s="190"/>
      <c r="Q48" s="8"/>
      <c r="R48" s="7"/>
      <c r="S48" s="7"/>
      <c r="T48" s="7"/>
      <c r="U48" s="7"/>
      <c r="V48" s="7"/>
      <c r="W48" s="7"/>
      <c r="X48" s="7"/>
      <c r="Y48" s="7"/>
      <c r="Z48" s="7"/>
      <c r="AA48" s="7"/>
      <c r="AB48" s="7"/>
      <c r="AC48" s="7"/>
      <c r="AD48" s="7"/>
      <c r="AE48" s="7"/>
      <c r="AF48" s="7"/>
      <c r="AG48" s="7"/>
      <c r="AH48" s="7"/>
      <c r="AI48" s="7"/>
      <c r="AJ48" s="7"/>
      <c r="AK48" s="7"/>
      <c r="AL48" s="7"/>
      <c r="AM48" s="7"/>
      <c r="AN48" s="7"/>
      <c r="AO48" s="7"/>
      <c r="AP48" s="7"/>
      <c r="AQ48" s="7"/>
      <c r="AR48" s="7"/>
      <c r="AS48" s="7"/>
      <c r="AT48" s="7"/>
      <c r="AU48" s="7"/>
      <c r="AV48" s="7"/>
      <c r="AW48" s="7"/>
      <c r="AX48" s="7"/>
      <c r="AY48" s="7"/>
      <c r="AZ48" s="7"/>
      <c r="CZ48" s="34">
        <v>0</v>
      </c>
    </row>
    <row r="49" spans="3:104" x14ac:dyDescent="0.25">
      <c r="CZ49" s="34">
        <v>0</v>
      </c>
    </row>
    <row r="50" spans="3:104" x14ac:dyDescent="0.25">
      <c r="C50" s="40" t="s">
        <v>88</v>
      </c>
      <c r="D50" s="247"/>
      <c r="E50" s="247"/>
      <c r="F50" s="247"/>
      <c r="G50" s="247"/>
      <c r="H50" s="247"/>
      <c r="I50" s="247"/>
      <c r="J50" s="247"/>
      <c r="K50" s="247"/>
      <c r="L50" s="247"/>
      <c r="M50" s="247"/>
      <c r="N50" s="247"/>
      <c r="O50" s="247"/>
      <c r="P50" s="247"/>
      <c r="Q50" s="247"/>
      <c r="R50" s="247"/>
      <c r="S50" s="247"/>
      <c r="T50" s="247"/>
      <c r="U50" s="247"/>
      <c r="V50" s="247"/>
      <c r="W50" s="247"/>
      <c r="X50" s="247"/>
      <c r="Y50" s="247"/>
      <c r="Z50" s="247"/>
      <c r="AA50" s="247"/>
      <c r="AB50" s="247"/>
      <c r="AC50" s="247"/>
      <c r="AD50" s="247"/>
      <c r="AE50" s="247"/>
      <c r="AF50" s="247"/>
      <c r="AG50" s="247"/>
      <c r="AH50" s="247"/>
      <c r="AI50" s="247"/>
      <c r="AJ50" s="247"/>
      <c r="AK50" s="247"/>
      <c r="AL50" s="247"/>
      <c r="AM50" s="247"/>
      <c r="AN50" s="247"/>
      <c r="AO50" s="247"/>
      <c r="AP50" s="247"/>
      <c r="AQ50" s="247"/>
      <c r="AR50" s="247"/>
      <c r="AS50" s="247"/>
      <c r="AT50" s="247"/>
      <c r="AU50" s="247"/>
      <c r="AV50" s="247"/>
      <c r="AW50" s="247"/>
      <c r="AX50" s="247"/>
      <c r="AY50" s="247"/>
      <c r="AZ50" s="248"/>
      <c r="CZ50" s="34">
        <v>0</v>
      </c>
    </row>
    <row r="51" spans="3:104" x14ac:dyDescent="0.25">
      <c r="C51" s="41" t="s">
        <v>88</v>
      </c>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c r="AC51" s="249"/>
      <c r="AD51" s="249"/>
      <c r="AE51" s="249"/>
      <c r="AF51" s="249"/>
      <c r="AG51" s="249"/>
      <c r="AH51" s="249"/>
      <c r="AI51" s="249"/>
      <c r="AJ51" s="249"/>
      <c r="AK51" s="249"/>
      <c r="AL51" s="249"/>
      <c r="AM51" s="249"/>
      <c r="AN51" s="249"/>
      <c r="AO51" s="249"/>
      <c r="AP51" s="249"/>
      <c r="AQ51" s="249"/>
      <c r="AR51" s="249"/>
      <c r="AS51" s="249"/>
      <c r="AT51" s="249"/>
      <c r="AU51" s="249"/>
      <c r="AV51" s="249"/>
      <c r="AW51" s="249"/>
      <c r="AX51" s="249"/>
      <c r="AY51" s="249"/>
      <c r="AZ51" s="250"/>
      <c r="CZ51" s="34">
        <v>0</v>
      </c>
    </row>
    <row r="52" spans="3:104" x14ac:dyDescent="0.25">
      <c r="C52" s="42" t="s">
        <v>88</v>
      </c>
      <c r="D52" s="251"/>
      <c r="E52" s="251"/>
      <c r="F52" s="251"/>
      <c r="G52" s="251"/>
      <c r="H52" s="251"/>
      <c r="I52" s="251"/>
      <c r="J52" s="251"/>
      <c r="K52" s="251"/>
      <c r="L52" s="251"/>
      <c r="M52" s="251"/>
      <c r="N52" s="251"/>
      <c r="O52" s="251"/>
      <c r="P52" s="251"/>
      <c r="Q52" s="251"/>
      <c r="R52" s="251"/>
      <c r="S52" s="251"/>
      <c r="T52" s="251"/>
      <c r="U52" s="251"/>
      <c r="V52" s="251"/>
      <c r="W52" s="251"/>
      <c r="X52" s="251"/>
      <c r="Y52" s="251"/>
      <c r="Z52" s="251"/>
      <c r="AA52" s="251"/>
      <c r="AB52" s="251"/>
      <c r="AC52" s="251"/>
      <c r="AD52" s="251"/>
      <c r="AE52" s="251"/>
      <c r="AF52" s="251"/>
      <c r="AG52" s="251"/>
      <c r="AH52" s="251"/>
      <c r="AI52" s="251"/>
      <c r="AJ52" s="251"/>
      <c r="AK52" s="251"/>
      <c r="AL52" s="251"/>
      <c r="AM52" s="251"/>
      <c r="AN52" s="251"/>
      <c r="AO52" s="251"/>
      <c r="AP52" s="251"/>
      <c r="AQ52" s="251"/>
      <c r="AR52" s="251"/>
      <c r="AS52" s="251"/>
      <c r="AT52" s="251"/>
      <c r="AU52" s="251"/>
      <c r="AV52" s="251"/>
      <c r="AW52" s="251"/>
      <c r="AX52" s="251"/>
      <c r="AY52" s="251"/>
      <c r="AZ52" s="252"/>
      <c r="CZ52" s="34">
        <v>0</v>
      </c>
    </row>
    <row r="53" spans="3:104" x14ac:dyDescent="0.25">
      <c r="C53" s="194" t="s">
        <v>92</v>
      </c>
      <c r="D53" s="195"/>
      <c r="E53" s="195"/>
      <c r="F53" s="195"/>
      <c r="G53" s="195"/>
      <c r="H53" s="195"/>
      <c r="I53" s="195"/>
      <c r="J53" s="195"/>
      <c r="K53" s="195"/>
      <c r="L53" s="195"/>
      <c r="M53" s="195"/>
      <c r="N53" s="195"/>
      <c r="O53" s="195"/>
      <c r="P53" s="195"/>
      <c r="Q53" s="195"/>
      <c r="R53" s="195"/>
      <c r="S53" s="195"/>
      <c r="T53" s="195"/>
      <c r="U53" s="195"/>
      <c r="V53" s="195"/>
      <c r="W53" s="195"/>
      <c r="X53" s="195"/>
      <c r="Y53" s="195"/>
      <c r="Z53" s="195"/>
      <c r="AA53" s="195"/>
      <c r="AB53" s="195"/>
      <c r="AC53" s="195"/>
      <c r="AD53" s="195"/>
      <c r="AE53" s="195"/>
      <c r="AF53" s="195"/>
      <c r="AG53" s="195"/>
      <c r="AH53" s="195"/>
      <c r="AI53" s="195"/>
      <c r="AJ53" s="195"/>
      <c r="AK53" s="195"/>
      <c r="AL53" s="195"/>
      <c r="AM53" s="195"/>
      <c r="AN53" s="195"/>
      <c r="AO53" s="195"/>
      <c r="AP53" s="195"/>
      <c r="AQ53" s="195"/>
      <c r="AR53" s="195"/>
      <c r="AS53" s="195"/>
      <c r="AT53" s="195"/>
      <c r="AU53" s="195"/>
      <c r="AV53" s="196"/>
      <c r="AW53" s="197" t="s">
        <v>91</v>
      </c>
      <c r="AX53" s="198"/>
      <c r="AY53" s="197" t="s">
        <v>90</v>
      </c>
      <c r="AZ53" s="198"/>
      <c r="CZ53" s="34">
        <v>1</v>
      </c>
    </row>
    <row r="54" spans="3:104" x14ac:dyDescent="0.25">
      <c r="CZ54" s="34">
        <v>0</v>
      </c>
    </row>
    <row r="55" spans="3:104" x14ac:dyDescent="0.25">
      <c r="C55" s="232" t="s">
        <v>134</v>
      </c>
      <c r="D55" s="232"/>
      <c r="E55" s="232"/>
      <c r="F55" s="232"/>
      <c r="G55" s="232"/>
      <c r="H55" s="232"/>
      <c r="I55" s="232"/>
      <c r="J55" s="232"/>
      <c r="K55" s="232"/>
      <c r="L55" s="232"/>
      <c r="M55" s="232"/>
      <c r="N55" s="232"/>
      <c r="O55" s="232"/>
      <c r="P55" s="232"/>
      <c r="Q55" s="232"/>
      <c r="R55" s="232"/>
      <c r="S55" s="232"/>
      <c r="T55" s="232"/>
      <c r="U55" s="232"/>
      <c r="V55" s="232"/>
      <c r="W55" s="232"/>
      <c r="X55" s="232"/>
      <c r="Y55" s="232"/>
      <c r="Z55" s="232"/>
      <c r="AA55" s="232"/>
      <c r="AB55" s="232"/>
      <c r="AC55" s="232"/>
      <c r="AD55" s="232"/>
      <c r="AE55" s="232"/>
      <c r="AF55" s="232"/>
      <c r="AG55" s="232"/>
      <c r="AH55" s="232"/>
      <c r="AI55" s="232"/>
      <c r="AJ55" s="232"/>
      <c r="AK55" s="232"/>
      <c r="AL55" s="232"/>
      <c r="AM55" s="232"/>
      <c r="AN55" s="232"/>
      <c r="AO55" s="232"/>
      <c r="AP55" s="232"/>
      <c r="AQ55" s="232"/>
      <c r="AR55" s="232"/>
      <c r="AS55" s="232"/>
      <c r="AT55" s="232"/>
      <c r="AU55" s="232"/>
      <c r="AV55" s="232"/>
      <c r="AW55" s="232"/>
      <c r="AX55" s="232"/>
      <c r="AY55" s="232"/>
      <c r="AZ55" s="232"/>
      <c r="CZ55" s="34">
        <v>0</v>
      </c>
    </row>
    <row r="56" spans="3:104" x14ac:dyDescent="0.25">
      <c r="CZ56" s="34">
        <v>0</v>
      </c>
    </row>
    <row r="57" spans="3:104" ht="15" customHeight="1" x14ac:dyDescent="0.25">
      <c r="C57" s="243" t="s">
        <v>1</v>
      </c>
      <c r="D57" s="244"/>
      <c r="E57" s="244"/>
      <c r="F57" s="244"/>
      <c r="G57" s="244"/>
      <c r="H57" s="244"/>
      <c r="I57" s="244"/>
      <c r="J57" s="244"/>
      <c r="K57" s="244"/>
      <c r="L57" s="244"/>
      <c r="M57" s="244"/>
      <c r="N57" s="245"/>
      <c r="O57" s="246" t="s">
        <v>135</v>
      </c>
      <c r="P57" s="246"/>
      <c r="Q57" s="246"/>
      <c r="R57" s="246"/>
      <c r="S57" s="246"/>
      <c r="T57" s="246"/>
      <c r="U57" s="246"/>
      <c r="V57" s="246"/>
      <c r="W57" s="246"/>
      <c r="X57" s="246"/>
      <c r="Y57" s="246"/>
      <c r="Z57" s="246"/>
      <c r="AA57" s="246"/>
      <c r="AB57" s="246" t="s">
        <v>136</v>
      </c>
      <c r="AC57" s="246"/>
      <c r="AD57" s="246"/>
      <c r="AE57" s="246"/>
      <c r="AF57" s="246"/>
      <c r="AG57" s="246"/>
      <c r="AH57" s="246"/>
      <c r="AI57" s="246"/>
      <c r="AJ57" s="246"/>
      <c r="AK57" s="246"/>
      <c r="AL57" s="246"/>
      <c r="AM57" s="246"/>
      <c r="AN57" s="246"/>
      <c r="AO57" s="191" t="s">
        <v>122</v>
      </c>
      <c r="AP57" s="192"/>
      <c r="AQ57" s="192"/>
      <c r="AR57" s="192"/>
      <c r="AS57" s="192"/>
      <c r="AT57" s="192"/>
      <c r="AU57" s="192"/>
      <c r="AV57" s="192"/>
      <c r="AW57" s="192"/>
      <c r="AX57" s="192"/>
      <c r="AY57" s="192"/>
      <c r="AZ57" s="193"/>
      <c r="CZ57" s="34">
        <v>0</v>
      </c>
    </row>
    <row r="58" spans="3:104" ht="15" customHeight="1" x14ac:dyDescent="0.25">
      <c r="C58" s="240"/>
      <c r="D58" s="241"/>
      <c r="E58" s="241"/>
      <c r="F58" s="241"/>
      <c r="G58" s="241"/>
      <c r="H58" s="241"/>
      <c r="I58" s="241"/>
      <c r="J58" s="241"/>
      <c r="K58" s="241"/>
      <c r="L58" s="241"/>
      <c r="M58" s="241"/>
      <c r="N58" s="242"/>
      <c r="O58" s="240" t="s">
        <v>93</v>
      </c>
      <c r="P58" s="241"/>
      <c r="Q58" s="241"/>
      <c r="R58" s="241"/>
      <c r="S58" s="241"/>
      <c r="T58" s="241"/>
      <c r="U58" s="241"/>
      <c r="V58" s="241"/>
      <c r="W58" s="241"/>
      <c r="X58" s="241"/>
      <c r="Y58" s="241"/>
      <c r="Z58" s="241"/>
      <c r="AA58" s="242"/>
      <c r="AB58" s="240" t="s">
        <v>61</v>
      </c>
      <c r="AC58" s="241"/>
      <c r="AD58" s="241"/>
      <c r="AE58" s="241"/>
      <c r="AF58" s="241"/>
      <c r="AG58" s="241"/>
      <c r="AH58" s="241"/>
      <c r="AI58" s="241"/>
      <c r="AJ58" s="241"/>
      <c r="AK58" s="241"/>
      <c r="AL58" s="241"/>
      <c r="AM58" s="241"/>
      <c r="AN58" s="242"/>
      <c r="AO58" s="240"/>
      <c r="AP58" s="241"/>
      <c r="AQ58" s="241"/>
      <c r="AR58" s="241"/>
      <c r="AS58" s="241"/>
      <c r="AT58" s="241"/>
      <c r="AU58" s="241"/>
      <c r="AV58" s="241"/>
      <c r="AW58" s="241"/>
      <c r="AX58" s="241"/>
      <c r="AY58" s="241"/>
      <c r="AZ58" s="242"/>
      <c r="CZ58" s="34">
        <v>0</v>
      </c>
    </row>
    <row r="59" spans="3:104" x14ac:dyDescent="0.25">
      <c r="C59" s="240"/>
      <c r="D59" s="241"/>
      <c r="E59" s="241"/>
      <c r="F59" s="241"/>
      <c r="G59" s="241"/>
      <c r="H59" s="241"/>
      <c r="I59" s="241"/>
      <c r="J59" s="241"/>
      <c r="K59" s="241"/>
      <c r="L59" s="241"/>
      <c r="M59" s="241"/>
      <c r="N59" s="242"/>
      <c r="O59" s="240" t="s">
        <v>137</v>
      </c>
      <c r="P59" s="241"/>
      <c r="Q59" s="241"/>
      <c r="R59" s="241"/>
      <c r="S59" s="241"/>
      <c r="T59" s="241"/>
      <c r="U59" s="241"/>
      <c r="V59" s="241"/>
      <c r="W59" s="241"/>
      <c r="X59" s="241"/>
      <c r="Y59" s="241"/>
      <c r="Z59" s="241"/>
      <c r="AA59" s="242"/>
      <c r="AB59" s="240" t="s">
        <v>61</v>
      </c>
      <c r="AC59" s="241"/>
      <c r="AD59" s="241"/>
      <c r="AE59" s="241"/>
      <c r="AF59" s="241"/>
      <c r="AG59" s="241"/>
      <c r="AH59" s="241"/>
      <c r="AI59" s="241"/>
      <c r="AJ59" s="241"/>
      <c r="AK59" s="241"/>
      <c r="AL59" s="241"/>
      <c r="AM59" s="241"/>
      <c r="AN59" s="242"/>
      <c r="AO59" s="240"/>
      <c r="AP59" s="241"/>
      <c r="AQ59" s="241"/>
      <c r="AR59" s="241"/>
      <c r="AS59" s="241"/>
      <c r="AT59" s="241"/>
      <c r="AU59" s="241"/>
      <c r="AV59" s="241"/>
      <c r="AW59" s="241"/>
      <c r="AX59" s="241"/>
      <c r="AY59" s="241"/>
      <c r="AZ59" s="242"/>
      <c r="CZ59" s="34">
        <v>0</v>
      </c>
    </row>
    <row r="60" spans="3:104" x14ac:dyDescent="0.25">
      <c r="C60" s="240"/>
      <c r="D60" s="241"/>
      <c r="E60" s="241"/>
      <c r="F60" s="241"/>
      <c r="G60" s="241"/>
      <c r="H60" s="241"/>
      <c r="I60" s="241"/>
      <c r="J60" s="241"/>
      <c r="K60" s="241"/>
      <c r="L60" s="241"/>
      <c r="M60" s="241"/>
      <c r="N60" s="242"/>
      <c r="O60" s="240" t="s">
        <v>138</v>
      </c>
      <c r="P60" s="241"/>
      <c r="Q60" s="241"/>
      <c r="R60" s="241"/>
      <c r="S60" s="241"/>
      <c r="T60" s="241"/>
      <c r="U60" s="241"/>
      <c r="V60" s="241"/>
      <c r="W60" s="241"/>
      <c r="X60" s="241"/>
      <c r="Y60" s="241"/>
      <c r="Z60" s="241"/>
      <c r="AA60" s="242"/>
      <c r="AB60" s="240"/>
      <c r="AC60" s="241"/>
      <c r="AD60" s="241"/>
      <c r="AE60" s="241"/>
      <c r="AF60" s="241"/>
      <c r="AG60" s="241"/>
      <c r="AH60" s="241"/>
      <c r="AI60" s="241"/>
      <c r="AJ60" s="241"/>
      <c r="AK60" s="241"/>
      <c r="AL60" s="241"/>
      <c r="AM60" s="241"/>
      <c r="AN60" s="242"/>
      <c r="AO60" s="240"/>
      <c r="AP60" s="241"/>
      <c r="AQ60" s="241"/>
      <c r="AR60" s="241"/>
      <c r="AS60" s="241"/>
      <c r="AT60" s="241"/>
      <c r="AU60" s="241"/>
      <c r="AV60" s="241"/>
      <c r="AW60" s="241"/>
      <c r="AX60" s="241"/>
      <c r="AY60" s="241"/>
      <c r="AZ60" s="242"/>
      <c r="CZ60" s="34">
        <v>0</v>
      </c>
    </row>
    <row r="61" spans="3:104" ht="15" customHeight="1" x14ac:dyDescent="0.25">
      <c r="C61" s="237"/>
      <c r="D61" s="238"/>
      <c r="E61" s="238"/>
      <c r="F61" s="238"/>
      <c r="G61" s="238"/>
      <c r="H61" s="238"/>
      <c r="I61" s="238"/>
      <c r="J61" s="238"/>
      <c r="K61" s="238"/>
      <c r="L61" s="238"/>
      <c r="M61" s="238"/>
      <c r="N61" s="239"/>
      <c r="O61" s="237"/>
      <c r="P61" s="238"/>
      <c r="Q61" s="238"/>
      <c r="R61" s="238"/>
      <c r="S61" s="238"/>
      <c r="T61" s="238"/>
      <c r="U61" s="238"/>
      <c r="V61" s="238"/>
      <c r="W61" s="238"/>
      <c r="X61" s="238"/>
      <c r="Y61" s="238"/>
      <c r="Z61" s="238"/>
      <c r="AA61" s="239"/>
      <c r="AB61" s="237"/>
      <c r="AC61" s="238"/>
      <c r="AD61" s="238"/>
      <c r="AE61" s="238"/>
      <c r="AF61" s="238"/>
      <c r="AG61" s="238"/>
      <c r="AH61" s="238"/>
      <c r="AI61" s="238"/>
      <c r="AJ61" s="238"/>
      <c r="AK61" s="238"/>
      <c r="AL61" s="238"/>
      <c r="AM61" s="238"/>
      <c r="AN61" s="239"/>
      <c r="AO61" s="237"/>
      <c r="AP61" s="238"/>
      <c r="AQ61" s="238"/>
      <c r="AR61" s="238"/>
      <c r="AS61" s="238"/>
      <c r="AT61" s="238"/>
      <c r="AU61" s="238"/>
      <c r="AV61" s="238"/>
      <c r="AW61" s="238"/>
      <c r="AX61" s="238"/>
      <c r="AY61" s="238"/>
      <c r="AZ61" s="239"/>
      <c r="CZ61" s="34">
        <v>0</v>
      </c>
    </row>
    <row r="62" spans="3:104" x14ac:dyDescent="0.25">
      <c r="C62" s="240"/>
      <c r="D62" s="241"/>
      <c r="E62" s="241"/>
      <c r="F62" s="241"/>
      <c r="G62" s="241"/>
      <c r="H62" s="241"/>
      <c r="I62" s="241"/>
      <c r="J62" s="241"/>
      <c r="K62" s="241"/>
      <c r="L62" s="241"/>
      <c r="M62" s="241"/>
      <c r="N62" s="242"/>
      <c r="O62" s="240"/>
      <c r="P62" s="241"/>
      <c r="Q62" s="241"/>
      <c r="R62" s="241"/>
      <c r="S62" s="241"/>
      <c r="T62" s="241"/>
      <c r="U62" s="241"/>
      <c r="V62" s="241"/>
      <c r="W62" s="241"/>
      <c r="X62" s="241"/>
      <c r="Y62" s="241"/>
      <c r="Z62" s="241"/>
      <c r="AA62" s="242"/>
      <c r="AB62" s="240"/>
      <c r="AC62" s="241"/>
      <c r="AD62" s="241"/>
      <c r="AE62" s="241"/>
      <c r="AF62" s="241"/>
      <c r="AG62" s="241"/>
      <c r="AH62" s="241"/>
      <c r="AI62" s="241"/>
      <c r="AJ62" s="241"/>
      <c r="AK62" s="241"/>
      <c r="AL62" s="241"/>
      <c r="AM62" s="241"/>
      <c r="AN62" s="242"/>
      <c r="AO62" s="240"/>
      <c r="AP62" s="241"/>
      <c r="AQ62" s="241"/>
      <c r="AR62" s="241"/>
      <c r="AS62" s="241"/>
      <c r="AT62" s="241"/>
      <c r="AU62" s="241"/>
      <c r="AV62" s="241"/>
      <c r="AW62" s="241"/>
      <c r="AX62" s="241"/>
      <c r="AY62" s="241"/>
      <c r="AZ62" s="242"/>
      <c r="CZ62" s="34">
        <v>0</v>
      </c>
    </row>
    <row r="63" spans="3:104" x14ac:dyDescent="0.25">
      <c r="C63" s="194" t="s">
        <v>92</v>
      </c>
      <c r="D63" s="195"/>
      <c r="E63" s="195"/>
      <c r="F63" s="195"/>
      <c r="G63" s="195"/>
      <c r="H63" s="195"/>
      <c r="I63" s="195"/>
      <c r="J63" s="195"/>
      <c r="K63" s="195"/>
      <c r="L63" s="195"/>
      <c r="M63" s="195"/>
      <c r="N63" s="195"/>
      <c r="O63" s="195"/>
      <c r="P63" s="195"/>
      <c r="Q63" s="195"/>
      <c r="R63" s="195"/>
      <c r="S63" s="195"/>
      <c r="T63" s="195"/>
      <c r="U63" s="195"/>
      <c r="V63" s="195"/>
      <c r="W63" s="195"/>
      <c r="X63" s="195"/>
      <c r="Y63" s="195"/>
      <c r="Z63" s="195"/>
      <c r="AA63" s="195"/>
      <c r="AB63" s="195"/>
      <c r="AC63" s="195"/>
      <c r="AD63" s="195"/>
      <c r="AE63" s="195"/>
      <c r="AF63" s="195"/>
      <c r="AG63" s="195"/>
      <c r="AH63" s="195"/>
      <c r="AI63" s="195"/>
      <c r="AJ63" s="195"/>
      <c r="AK63" s="195"/>
      <c r="AL63" s="195"/>
      <c r="AM63" s="195"/>
      <c r="AN63" s="195"/>
      <c r="AO63" s="195"/>
      <c r="AP63" s="195"/>
      <c r="AQ63" s="195"/>
      <c r="AR63" s="195"/>
      <c r="AS63" s="195"/>
      <c r="AT63" s="195"/>
      <c r="AU63" s="195"/>
      <c r="AV63" s="196"/>
      <c r="AW63" s="197" t="s">
        <v>91</v>
      </c>
      <c r="AX63" s="198"/>
      <c r="AY63" s="197" t="s">
        <v>90</v>
      </c>
      <c r="AZ63" s="198"/>
      <c r="CZ63" s="34">
        <v>1</v>
      </c>
    </row>
    <row r="64" spans="3:104" x14ac:dyDescent="0.25">
      <c r="CZ64" s="34">
        <v>0</v>
      </c>
    </row>
    <row r="65" spans="3:104" x14ac:dyDescent="0.25">
      <c r="C65" s="177" t="s">
        <v>139</v>
      </c>
      <c r="D65" s="178"/>
      <c r="E65" s="178"/>
      <c r="F65" s="178"/>
      <c r="G65" s="178"/>
      <c r="H65" s="178"/>
      <c r="I65" s="178"/>
      <c r="J65" s="178"/>
      <c r="K65" s="178"/>
      <c r="L65" s="178"/>
      <c r="M65" s="178"/>
      <c r="N65" s="178"/>
      <c r="O65" s="178"/>
      <c r="P65" s="179"/>
      <c r="Q65" s="234" t="s">
        <v>123</v>
      </c>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N65" s="235"/>
      <c r="AO65" s="235"/>
      <c r="AP65" s="235"/>
      <c r="AQ65" s="235"/>
      <c r="AR65" s="235"/>
      <c r="AS65" s="235"/>
      <c r="AT65" s="235"/>
      <c r="AU65" s="235"/>
      <c r="AV65" s="235"/>
      <c r="AW65" s="235"/>
      <c r="AX65" s="235"/>
      <c r="AY65" s="235"/>
      <c r="AZ65" s="236"/>
      <c r="CZ65" s="34">
        <v>0</v>
      </c>
    </row>
    <row r="66" spans="3:104" ht="15" customHeight="1" x14ac:dyDescent="0.25">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CZ66" s="34">
        <v>1</v>
      </c>
    </row>
    <row r="67" spans="3:104" ht="15" customHeight="1" x14ac:dyDescent="0.25">
      <c r="C67" s="232"/>
      <c r="D67" s="232"/>
      <c r="E67" s="232"/>
      <c r="F67" s="232"/>
      <c r="G67" s="232"/>
      <c r="H67" s="232"/>
      <c r="I67" s="232"/>
      <c r="J67" s="232"/>
      <c r="K67" s="232"/>
      <c r="L67" s="232"/>
      <c r="M67" s="232"/>
      <c r="N67" s="232"/>
      <c r="O67" s="232"/>
      <c r="P67" s="232"/>
      <c r="Q67" s="232"/>
      <c r="R67" s="232"/>
      <c r="S67" s="232"/>
      <c r="T67" s="232"/>
      <c r="U67" s="232"/>
      <c r="V67" s="232"/>
      <c r="W67" s="232"/>
      <c r="X67" s="232"/>
      <c r="Y67" s="232"/>
      <c r="Z67" s="232"/>
      <c r="AA67" s="232"/>
      <c r="AB67" s="232"/>
      <c r="AC67" s="232"/>
      <c r="AD67" s="232"/>
      <c r="AE67" s="232"/>
      <c r="AF67" s="232"/>
      <c r="AG67" s="232"/>
      <c r="AH67" s="232"/>
      <c r="AI67" s="232"/>
      <c r="AJ67" s="232"/>
      <c r="AK67" s="232"/>
      <c r="AL67" s="232"/>
      <c r="AM67" s="232"/>
      <c r="AN67" s="232"/>
      <c r="AO67" s="232"/>
      <c r="AP67" s="232"/>
      <c r="AQ67" s="232"/>
      <c r="AR67" s="232"/>
      <c r="AS67" s="232"/>
      <c r="AT67" s="232"/>
      <c r="AU67" s="232"/>
      <c r="AV67" s="232"/>
      <c r="AW67" s="232"/>
      <c r="AX67" s="232"/>
      <c r="AY67" s="232"/>
      <c r="AZ67" s="232"/>
      <c r="CZ67" s="34">
        <v>0</v>
      </c>
    </row>
    <row r="68" spans="3:104" x14ac:dyDescent="0.25">
      <c r="CZ68" s="34">
        <v>0</v>
      </c>
    </row>
    <row r="69" spans="3:104" x14ac:dyDescent="0.25">
      <c r="C69" s="233" t="s">
        <v>87</v>
      </c>
      <c r="D69" s="233"/>
      <c r="E69" s="233"/>
      <c r="F69" s="233"/>
      <c r="G69" s="233"/>
      <c r="H69" s="233"/>
      <c r="I69" s="233"/>
      <c r="J69" s="233"/>
      <c r="K69" s="233"/>
      <c r="L69" s="233"/>
      <c r="M69" s="233"/>
      <c r="N69" s="233"/>
      <c r="O69" s="233"/>
      <c r="P69" s="233"/>
      <c r="Q69" s="233"/>
      <c r="R69" s="233"/>
      <c r="S69" s="233"/>
      <c r="T69" s="233"/>
      <c r="U69" s="233"/>
      <c r="V69" s="233"/>
      <c r="W69" s="233"/>
      <c r="X69" s="233"/>
      <c r="Y69" s="233"/>
      <c r="Z69" s="233"/>
      <c r="AA69" s="233"/>
      <c r="AB69" s="233"/>
      <c r="AC69" s="233"/>
      <c r="AD69" s="233"/>
      <c r="AE69" s="233"/>
      <c r="AF69" s="233"/>
      <c r="AG69" s="233"/>
      <c r="AH69" s="233"/>
      <c r="AI69" s="233"/>
      <c r="AJ69" s="233"/>
      <c r="AK69" s="233"/>
      <c r="AL69" s="233"/>
      <c r="AM69" s="233"/>
      <c r="AN69" s="233"/>
      <c r="AO69" s="233"/>
      <c r="AP69" s="233"/>
      <c r="AQ69" s="233"/>
      <c r="AR69" s="233"/>
      <c r="AS69" s="233"/>
      <c r="AT69" s="233"/>
      <c r="AU69" s="233"/>
      <c r="AV69" s="233"/>
      <c r="AW69" s="43"/>
      <c r="AX69" s="43"/>
      <c r="AY69" s="43"/>
      <c r="CZ69" s="34">
        <v>0</v>
      </c>
    </row>
    <row r="70" spans="3:104" x14ac:dyDescent="0.25">
      <c r="C70" s="175" t="s">
        <v>86</v>
      </c>
      <c r="D70" s="175"/>
      <c r="E70" s="175"/>
      <c r="F70" s="175"/>
      <c r="G70" s="175"/>
      <c r="H70" s="175"/>
      <c r="I70" s="175"/>
      <c r="J70" s="175"/>
      <c r="K70" s="175"/>
      <c r="L70" s="175"/>
      <c r="M70" s="175"/>
      <c r="N70" s="175"/>
      <c r="O70" s="175"/>
      <c r="P70" s="175"/>
      <c r="Q70" s="175"/>
      <c r="R70" s="175"/>
      <c r="S70" s="175"/>
      <c r="T70" s="175"/>
      <c r="U70" s="175"/>
      <c r="V70" s="175"/>
      <c r="W70" s="175"/>
      <c r="X70" s="175"/>
      <c r="Y70" s="175"/>
      <c r="Z70" s="176" t="s">
        <v>85</v>
      </c>
      <c r="AA70" s="176"/>
      <c r="AB70" s="176"/>
      <c r="AC70" s="176"/>
      <c r="AD70" s="176"/>
      <c r="AE70" s="176"/>
      <c r="AF70" s="176"/>
      <c r="AG70" s="176"/>
      <c r="AH70" s="176"/>
      <c r="AI70" s="176"/>
      <c r="AJ70" s="176"/>
      <c r="AK70" s="176"/>
      <c r="AL70" s="176"/>
      <c r="AM70" s="176"/>
      <c r="AN70" s="176"/>
      <c r="AO70" s="176"/>
      <c r="AP70" s="176"/>
      <c r="AQ70" s="176"/>
      <c r="AR70" s="176"/>
      <c r="AS70" s="176"/>
      <c r="AT70" s="176"/>
      <c r="AU70" s="176"/>
      <c r="AV70" s="176"/>
      <c r="BC70">
        <f>ROW(C70)</f>
        <v>70</v>
      </c>
      <c r="BD70">
        <f>COLUMN(C70)</f>
        <v>3</v>
      </c>
      <c r="CZ70" s="34">
        <v>2</v>
      </c>
    </row>
    <row r="71" spans="3:104" x14ac:dyDescent="0.25">
      <c r="CZ71" s="34">
        <v>0</v>
      </c>
    </row>
    <row r="73" spans="3:104" ht="15" customHeight="1" x14ac:dyDescent="0.25"/>
    <row r="75" spans="3:104" ht="15" customHeight="1" x14ac:dyDescent="0.25"/>
    <row r="76" spans="3:104" ht="15" customHeight="1" x14ac:dyDescent="0.25"/>
    <row r="77" spans="3:104" ht="15" customHeight="1" x14ac:dyDescent="0.25"/>
    <row r="79" spans="3:104" ht="15" customHeight="1" x14ac:dyDescent="0.25"/>
    <row r="80" spans="3:104" ht="15" customHeight="1" x14ac:dyDescent="0.25"/>
    <row r="81" ht="15" customHeight="1" x14ac:dyDescent="0.25"/>
    <row r="82" ht="15" customHeight="1" x14ac:dyDescent="0.25"/>
    <row r="85" ht="15" customHeight="1" x14ac:dyDescent="0.25"/>
    <row r="102" ht="15" customHeight="1" x14ac:dyDescent="0.25"/>
  </sheetData>
  <sheetProtection formatCells="0" formatRows="0" insertHyperlinks="0" selectLockedCells="1"/>
  <mergeCells count="139">
    <mergeCell ref="BU2:CV2"/>
    <mergeCell ref="BC3:BG3"/>
    <mergeCell ref="BH3:BM3"/>
    <mergeCell ref="BN3:BS3"/>
    <mergeCell ref="BU3:BV3"/>
    <mergeCell ref="BW3:CV3"/>
    <mergeCell ref="BC4:BG4"/>
    <mergeCell ref="BH4:BM4"/>
    <mergeCell ref="BN4:BS4"/>
    <mergeCell ref="BC5:BG5"/>
    <mergeCell ref="BH5:BM5"/>
    <mergeCell ref="BN5:BS5"/>
    <mergeCell ref="K2:AZ4"/>
    <mergeCell ref="BC2:BG2"/>
    <mergeCell ref="BH2:BM2"/>
    <mergeCell ref="BN2:BS2"/>
    <mergeCell ref="BC6:BG6"/>
    <mergeCell ref="BH6:BM6"/>
    <mergeCell ref="BN6:BS6"/>
    <mergeCell ref="C7:E8"/>
    <mergeCell ref="F7:I8"/>
    <mergeCell ref="J7:M8"/>
    <mergeCell ref="N7:Y8"/>
    <mergeCell ref="Z7:AH8"/>
    <mergeCell ref="AI7:AQ8"/>
    <mergeCell ref="AR7:AZ8"/>
    <mergeCell ref="AR9:AZ9"/>
    <mergeCell ref="C10:E10"/>
    <mergeCell ref="F10:I10"/>
    <mergeCell ref="J10:M10"/>
    <mergeCell ref="N10:Y10"/>
    <mergeCell ref="Z10:AH10"/>
    <mergeCell ref="AI10:AQ10"/>
    <mergeCell ref="AR10:AZ10"/>
    <mergeCell ref="C9:E9"/>
    <mergeCell ref="F9:I9"/>
    <mergeCell ref="J9:M9"/>
    <mergeCell ref="N9:Y9"/>
    <mergeCell ref="Z9:AH9"/>
    <mergeCell ref="AI9:AQ9"/>
    <mergeCell ref="C17:P17"/>
    <mergeCell ref="C19:P19"/>
    <mergeCell ref="Q19:AZ19"/>
    <mergeCell ref="C20:P20"/>
    <mergeCell ref="Q20:AZ20"/>
    <mergeCell ref="C21:P21"/>
    <mergeCell ref="Q21:AZ21"/>
    <mergeCell ref="AR11:AZ11"/>
    <mergeCell ref="C12:AV12"/>
    <mergeCell ref="AW12:AX12"/>
    <mergeCell ref="AY12:AZ12"/>
    <mergeCell ref="D13:AZ13"/>
    <mergeCell ref="D14:AZ16"/>
    <mergeCell ref="C11:E11"/>
    <mergeCell ref="F11:I11"/>
    <mergeCell ref="J11:M11"/>
    <mergeCell ref="N11:Y11"/>
    <mergeCell ref="Z11:AH11"/>
    <mergeCell ref="AI11:AQ11"/>
    <mergeCell ref="C22:P22"/>
    <mergeCell ref="Q22:AZ22"/>
    <mergeCell ref="C23:P23"/>
    <mergeCell ref="Q23:AZ23"/>
    <mergeCell ref="C24:P24"/>
    <mergeCell ref="Q24:AZ24"/>
    <mergeCell ref="C37:Y37"/>
    <mergeCell ref="Z37:AC37"/>
    <mergeCell ref="AD37:AZ37"/>
    <mergeCell ref="C31:P31"/>
    <mergeCell ref="Q31:AZ31"/>
    <mergeCell ref="C28:P28"/>
    <mergeCell ref="Q28:AZ28"/>
    <mergeCell ref="C29:P29"/>
    <mergeCell ref="Q29:AZ29"/>
    <mergeCell ref="C30:P30"/>
    <mergeCell ref="Q30:AZ30"/>
    <mergeCell ref="C25:P25"/>
    <mergeCell ref="Q25:AZ25"/>
    <mergeCell ref="C26:P26"/>
    <mergeCell ref="Q26:AZ26"/>
    <mergeCell ref="C27:P27"/>
    <mergeCell ref="Q27:AZ27"/>
    <mergeCell ref="C38:Y38"/>
    <mergeCell ref="Z38:AC38"/>
    <mergeCell ref="AD38:AZ38"/>
    <mergeCell ref="C33:P33"/>
    <mergeCell ref="C35:Y35"/>
    <mergeCell ref="Z35:AC35"/>
    <mergeCell ref="AD35:AZ35"/>
    <mergeCell ref="C36:Y36"/>
    <mergeCell ref="Z36:AC36"/>
    <mergeCell ref="AD36:AZ36"/>
    <mergeCell ref="C48:P48"/>
    <mergeCell ref="D50:AZ50"/>
    <mergeCell ref="D51:AZ51"/>
    <mergeCell ref="D52:AZ52"/>
    <mergeCell ref="C53:AV53"/>
    <mergeCell ref="AW53:AX53"/>
    <mergeCell ref="AY53:AZ53"/>
    <mergeCell ref="C39:AV39"/>
    <mergeCell ref="AW39:AX39"/>
    <mergeCell ref="AY39:AZ39"/>
    <mergeCell ref="C41:AZ42"/>
    <mergeCell ref="C44:AZ44"/>
    <mergeCell ref="C45:AZ45"/>
    <mergeCell ref="C55:AZ55"/>
    <mergeCell ref="C57:N57"/>
    <mergeCell ref="O57:AA57"/>
    <mergeCell ref="AB57:AN57"/>
    <mergeCell ref="AO57:AZ57"/>
    <mergeCell ref="C58:N58"/>
    <mergeCell ref="O58:AA58"/>
    <mergeCell ref="AB58:AN58"/>
    <mergeCell ref="AO58:AZ58"/>
    <mergeCell ref="C61:N61"/>
    <mergeCell ref="O61:AA61"/>
    <mergeCell ref="AB61:AN61"/>
    <mergeCell ref="AO61:AZ61"/>
    <mergeCell ref="C62:N62"/>
    <mergeCell ref="O62:AA62"/>
    <mergeCell ref="AB62:AN62"/>
    <mergeCell ref="AO62:AZ62"/>
    <mergeCell ref="C59:N59"/>
    <mergeCell ref="O59:AA59"/>
    <mergeCell ref="AB59:AN59"/>
    <mergeCell ref="AO59:AZ59"/>
    <mergeCell ref="C60:N60"/>
    <mergeCell ref="O60:AA60"/>
    <mergeCell ref="AB60:AN60"/>
    <mergeCell ref="AO60:AZ60"/>
    <mergeCell ref="C67:AZ67"/>
    <mergeCell ref="C69:AV69"/>
    <mergeCell ref="C70:Y70"/>
    <mergeCell ref="Z70:AV70"/>
    <mergeCell ref="C63:AV63"/>
    <mergeCell ref="AW63:AX63"/>
    <mergeCell ref="AY63:AZ63"/>
    <mergeCell ref="C65:P65"/>
    <mergeCell ref="Q65:AZ65"/>
  </mergeCells>
  <dataValidations count="3">
    <dataValidation allowBlank="1" showInputMessage="1" showErrorMessage="1" errorTitle="Error" error="Solo se permite el ingreso de valores enteros entre el 1 y el 10000" sqref="AE36:AE38 D37:Y38 C36:C38" xr:uid="{00000000-0002-0000-0A00-000000000000}"/>
    <dataValidation type="decimal" allowBlank="1" showInputMessage="1" showErrorMessage="1" errorTitle="Error" error="Solo se permite el ingreso de valores numéricos entre 1 y 100_x000a_" sqref="C9:E11" xr:uid="{00000000-0002-0000-0A00-000001000000}">
      <formula1>1</formula1>
      <formula2>100</formula2>
    </dataValidation>
    <dataValidation type="list" allowBlank="1" showInputMessage="1" showErrorMessage="1" errorTitle="Error" error="Solo se permite el ingreso de los siguientes caracteres: C - M - D - A" sqref="F9:I11" xr:uid="{00000000-0002-0000-0A00-000002000000}">
      <formula1>Acción</formula1>
    </dataValidation>
  </dataValidations>
  <pageMargins left="0.70866141732283472" right="0.70866141732283472" top="0.74803149606299213" bottom="0.74803149606299213" header="0.31496062992125984" footer="0.31496062992125984"/>
  <pageSetup scale="61" orientation="portrait" r:id="rId1"/>
  <headerFooter>
    <oddFooter>&amp;L&amp;"Arial,Normal"&amp;9Versión 3.5&amp;C&amp;"Arial,Normal"&amp;9Choucair Cárdenas Testing. Todos los derechos reservados - 2011. Choucair ©CONFIDENCIAL&amp;R&amp;"Arial,Normal"&amp;9Pág &amp;P de &amp;N</oddFooter>
  </headerFooter>
  <drawing r:id="rId2"/>
  <legacyDrawing r:id="rId3"/>
  <controls>
    <mc:AlternateContent xmlns:mc="http://schemas.openxmlformats.org/markup-compatibility/2006">
      <mc:Choice Requires="x14">
        <control shapeId="18433" r:id="rId4" name="imgAgregarFilaAccion">
          <controlPr defaultSize="0" autoLine="0" r:id="rId5">
            <anchor moveWithCells="1">
              <from>
                <xdr:col>50</xdr:col>
                <xdr:colOff>9525</xdr:colOff>
                <xdr:row>11</xdr:row>
                <xdr:rowOff>9525</xdr:rowOff>
              </from>
              <to>
                <xdr:col>52</xdr:col>
                <xdr:colOff>0</xdr:colOff>
                <xdr:row>11</xdr:row>
                <xdr:rowOff>180975</xdr:rowOff>
              </to>
            </anchor>
          </controlPr>
        </control>
      </mc:Choice>
      <mc:Fallback>
        <control shapeId="18433" r:id="rId4" name="imgAgregarFilaAccion"/>
      </mc:Fallback>
    </mc:AlternateContent>
    <mc:AlternateContent xmlns:mc="http://schemas.openxmlformats.org/markup-compatibility/2006">
      <mc:Choice Requires="x14">
        <control shapeId="18434" r:id="rId6" name="imgEliminarFilaAccion">
          <controlPr defaultSize="0" autoLine="0" r:id="rId5">
            <anchor moveWithCells="1">
              <from>
                <xdr:col>48</xdr:col>
                <xdr:colOff>9525</xdr:colOff>
                <xdr:row>11</xdr:row>
                <xdr:rowOff>9525</xdr:rowOff>
              </from>
              <to>
                <xdr:col>50</xdr:col>
                <xdr:colOff>0</xdr:colOff>
                <xdr:row>11</xdr:row>
                <xdr:rowOff>180975</xdr:rowOff>
              </to>
            </anchor>
          </controlPr>
        </control>
      </mc:Choice>
      <mc:Fallback>
        <control shapeId="18434" r:id="rId6" name="imgEliminarFilaAccion"/>
      </mc:Fallback>
    </mc:AlternateContent>
    <mc:AlternateContent xmlns:mc="http://schemas.openxmlformats.org/markup-compatibility/2006">
      <mc:Choice Requires="x14">
        <control shapeId="18435" r:id="rId7" name="imgAgregarFilaMotivo">
          <controlPr defaultSize="0" autoLine="0" r:id="rId5">
            <anchor moveWithCells="1">
              <from>
                <xdr:col>50</xdr:col>
                <xdr:colOff>9525</xdr:colOff>
                <xdr:row>38</xdr:row>
                <xdr:rowOff>9525</xdr:rowOff>
              </from>
              <to>
                <xdr:col>52</xdr:col>
                <xdr:colOff>0</xdr:colOff>
                <xdr:row>38</xdr:row>
                <xdr:rowOff>180975</xdr:rowOff>
              </to>
            </anchor>
          </controlPr>
        </control>
      </mc:Choice>
      <mc:Fallback>
        <control shapeId="18435" r:id="rId7" name="imgAgregarFilaMotivo"/>
      </mc:Fallback>
    </mc:AlternateContent>
    <mc:AlternateContent xmlns:mc="http://schemas.openxmlformats.org/markup-compatibility/2006">
      <mc:Choice Requires="x14">
        <control shapeId="18436" r:id="rId8" name="imgEliminarFilaMotivo">
          <controlPr defaultSize="0" autoLine="0" r:id="rId5">
            <anchor moveWithCells="1">
              <from>
                <xdr:col>48</xdr:col>
                <xdr:colOff>9525</xdr:colOff>
                <xdr:row>38</xdr:row>
                <xdr:rowOff>9525</xdr:rowOff>
              </from>
              <to>
                <xdr:col>50</xdr:col>
                <xdr:colOff>0</xdr:colOff>
                <xdr:row>38</xdr:row>
                <xdr:rowOff>180975</xdr:rowOff>
              </to>
            </anchor>
          </controlPr>
        </control>
      </mc:Choice>
      <mc:Fallback>
        <control shapeId="18436" r:id="rId8" name="imgEliminarFilaMotivo"/>
      </mc:Fallback>
    </mc:AlternateContent>
    <mc:AlternateContent xmlns:mc="http://schemas.openxmlformats.org/markup-compatibility/2006">
      <mc:Choice Requires="x14">
        <control shapeId="18438" r:id="rId9" name="imgAgregarFilaObservacion">
          <controlPr defaultSize="0" autoLine="0" r:id="rId5">
            <anchor moveWithCells="1">
              <from>
                <xdr:col>50</xdr:col>
                <xdr:colOff>9525</xdr:colOff>
                <xdr:row>52</xdr:row>
                <xdr:rowOff>9525</xdr:rowOff>
              </from>
              <to>
                <xdr:col>52</xdr:col>
                <xdr:colOff>0</xdr:colOff>
                <xdr:row>52</xdr:row>
                <xdr:rowOff>180975</xdr:rowOff>
              </to>
            </anchor>
          </controlPr>
        </control>
      </mc:Choice>
      <mc:Fallback>
        <control shapeId="18438" r:id="rId9" name="imgAgregarFilaObservacion"/>
      </mc:Fallback>
    </mc:AlternateContent>
    <mc:AlternateContent xmlns:mc="http://schemas.openxmlformats.org/markup-compatibility/2006">
      <mc:Choice Requires="x14">
        <control shapeId="18439" r:id="rId10" name="imgEliminarFilaObservacion">
          <controlPr defaultSize="0" autoLine="0" r:id="rId5">
            <anchor moveWithCells="1">
              <from>
                <xdr:col>48</xdr:col>
                <xdr:colOff>9525</xdr:colOff>
                <xdr:row>52</xdr:row>
                <xdr:rowOff>9525</xdr:rowOff>
              </from>
              <to>
                <xdr:col>50</xdr:col>
                <xdr:colOff>0</xdr:colOff>
                <xdr:row>52</xdr:row>
                <xdr:rowOff>180975</xdr:rowOff>
              </to>
            </anchor>
          </controlPr>
        </control>
      </mc:Choice>
      <mc:Fallback>
        <control shapeId="18439" r:id="rId10" name="imgEliminarFilaObservacion"/>
      </mc:Fallback>
    </mc:AlternateContent>
    <mc:AlternateContent xmlns:mc="http://schemas.openxmlformats.org/markup-compatibility/2006">
      <mc:Choice Requires="x14">
        <control shapeId="18440" r:id="rId11" name="imgAgregarFilaFirma">
          <controlPr defaultSize="0" autoLine="0" r:id="rId5">
            <anchor moveWithCells="1">
              <from>
                <xdr:col>50</xdr:col>
                <xdr:colOff>9525</xdr:colOff>
                <xdr:row>62</xdr:row>
                <xdr:rowOff>9525</xdr:rowOff>
              </from>
              <to>
                <xdr:col>52</xdr:col>
                <xdr:colOff>0</xdr:colOff>
                <xdr:row>62</xdr:row>
                <xdr:rowOff>180975</xdr:rowOff>
              </to>
            </anchor>
          </controlPr>
        </control>
      </mc:Choice>
      <mc:Fallback>
        <control shapeId="18440" r:id="rId11" name="imgAgregarFilaFirma"/>
      </mc:Fallback>
    </mc:AlternateContent>
    <mc:AlternateContent xmlns:mc="http://schemas.openxmlformats.org/markup-compatibility/2006">
      <mc:Choice Requires="x14">
        <control shapeId="18441" r:id="rId12" name="imgEliminarFilaFirma">
          <controlPr defaultSize="0" autoLine="0" r:id="rId5">
            <anchor moveWithCells="1">
              <from>
                <xdr:col>48</xdr:col>
                <xdr:colOff>9525</xdr:colOff>
                <xdr:row>62</xdr:row>
                <xdr:rowOff>9525</xdr:rowOff>
              </from>
              <to>
                <xdr:col>50</xdr:col>
                <xdr:colOff>0</xdr:colOff>
                <xdr:row>62</xdr:row>
                <xdr:rowOff>180975</xdr:rowOff>
              </to>
            </anchor>
          </controlPr>
        </control>
      </mc:Choice>
      <mc:Fallback>
        <control shapeId="18441" r:id="rId12" name="imgEliminarFilaFirm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Listas!$F$3:$F$4</xm:f>
          </x14:formula1>
          <xm:sqref>Z36:AC38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27</vt:i4>
      </vt:variant>
    </vt:vector>
  </HeadingPairs>
  <TitlesOfParts>
    <vt:vector size="33" baseType="lpstr">
      <vt:lpstr>Resumen</vt:lpstr>
      <vt:lpstr>Catálogo de Ideas</vt:lpstr>
      <vt:lpstr>Diseño</vt:lpstr>
      <vt:lpstr>Factor de Ajuste</vt:lpstr>
      <vt:lpstr>Listas</vt:lpstr>
      <vt:lpstr>SuspensionPrueba</vt:lpstr>
      <vt:lpstr>SuspensionPrueba!Accion</vt:lpstr>
      <vt:lpstr>Acción</vt:lpstr>
      <vt:lpstr>Analista_Pruebas</vt:lpstr>
      <vt:lpstr>SuspensionPrueba!Aspecto</vt:lpstr>
      <vt:lpstr>SuspensionPrueba!CicloVida</vt:lpstr>
      <vt:lpstr>SuspensionPrueba!CicloVidaCompleto</vt:lpstr>
      <vt:lpstr>SuspensionPrueba!CicloVidaPruebas</vt:lpstr>
      <vt:lpstr>SuspensionPrueba!Complejidad</vt:lpstr>
      <vt:lpstr>Desfases</vt:lpstr>
      <vt:lpstr>SuspensionPrueba!Diseno</vt:lpstr>
      <vt:lpstr>Estado_del_Proyecto</vt:lpstr>
      <vt:lpstr>SuspensionPrueba!EstadoProyecto</vt:lpstr>
      <vt:lpstr>Etapa_Prueba</vt:lpstr>
      <vt:lpstr>SuspensionPrueba!EtapaPrueba</vt:lpstr>
      <vt:lpstr>SuspensionPrueba!Impacto</vt:lpstr>
      <vt:lpstr>SuspensionPrueba!ImpactoIssue</vt:lpstr>
      <vt:lpstr>SuspensionPrueba!Niveles</vt:lpstr>
      <vt:lpstr>SuspensionPrueba!Print_Area</vt:lpstr>
      <vt:lpstr>Responsable</vt:lpstr>
      <vt:lpstr>Responsable_ocurrencia_desfase</vt:lpstr>
      <vt:lpstr>SuspensionPrueba!SiNo</vt:lpstr>
      <vt:lpstr>Sugerida</vt:lpstr>
      <vt:lpstr>SuspensionPrueba!Tipo_Ejecucion</vt:lpstr>
      <vt:lpstr>SuspensionPrueba!Tipo_Ejecucion_1</vt:lpstr>
      <vt:lpstr>Tipo_Pruebas</vt:lpstr>
      <vt:lpstr>SuspensionPrueba!TipoPrueba</vt:lpstr>
      <vt:lpstr>SuspensionPrueba!TipoPruebaNC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Fernando Álvarez Barrios</dc:creator>
  <cp:lastModifiedBy>kevin Alexander Caleño Sierra</cp:lastModifiedBy>
  <cp:lastPrinted>2022-07-27T14:49:01Z</cp:lastPrinted>
  <dcterms:created xsi:type="dcterms:W3CDTF">2017-05-03T22:48:54Z</dcterms:created>
  <dcterms:modified xsi:type="dcterms:W3CDTF">2023-06-07T15:57:32Z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86d4e4a9-749d-48ba-b934-c9379a15c8a3</vt:lpwstr>
  </property>
</Properties>
</file>